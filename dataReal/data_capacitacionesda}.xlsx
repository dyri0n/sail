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@FORMACIÓN Y DESARROLLO\2025\"/>
    </mc:Choice>
  </mc:AlternateContent>
  <xr:revisionPtr revIDLastSave="0" documentId="13_ncr:1_{CB98E6C3-4603-484D-856C-C15E7C1EB14D}" xr6:coauthVersionLast="47" xr6:coauthVersionMax="47" xr10:uidLastSave="{00000000-0000-0000-0000-000000000000}"/>
  <bookViews>
    <workbookView xWindow="-28920" yWindow="-4485" windowWidth="29040" windowHeight="15840" activeTab="1" xr2:uid="{5C60B256-4A52-45FE-B1AF-889DAAAE02F9}"/>
  </bookViews>
  <sheets>
    <sheet name="Informe 2025" sheetId="1" r:id="rId1"/>
    <sheet name="Participantes" sheetId="2" r:id="rId2"/>
    <sheet name="Guía" sheetId="3" r:id="rId3"/>
    <sheet name="ID" sheetId="4" r:id="rId4"/>
    <sheet name="CORREOS" sheetId="5" r:id="rId5"/>
    <sheet name="RESUMEN" sheetId="6" r:id="rId6"/>
  </sheets>
  <definedNames>
    <definedName name="_xlnm._FilterDatabase" localSheetId="0" hidden="1">'Informe 2025'!$A$5:$T$165</definedName>
    <definedName name="_xlnm._FilterDatabase" localSheetId="1" hidden="1">Participantes!$A$1:$H$1006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2" i="2"/>
  <c r="O80" i="1"/>
  <c r="O79" i="1"/>
  <c r="O78" i="1"/>
  <c r="O76" i="1"/>
  <c r="H3" i="2"/>
  <c r="H4" i="2"/>
  <c r="H5" i="2"/>
  <c r="I5" i="2" s="1"/>
  <c r="H6" i="2"/>
  <c r="I6" i="2" s="1"/>
  <c r="H7" i="2"/>
  <c r="H8" i="2"/>
  <c r="H9" i="2"/>
  <c r="H10" i="2"/>
  <c r="I10" i="2" s="1"/>
  <c r="H11" i="2"/>
  <c r="H12" i="2"/>
  <c r="I12" i="2" s="1"/>
  <c r="H13" i="2"/>
  <c r="I13" i="2" s="1"/>
  <c r="H14" i="2"/>
  <c r="I14" i="2" s="1"/>
  <c r="H15" i="2"/>
  <c r="H16" i="2"/>
  <c r="H17" i="2"/>
  <c r="I17" i="2" s="1"/>
  <c r="H18" i="2"/>
  <c r="I18" i="2" s="1"/>
  <c r="H19" i="2"/>
  <c r="H20" i="2"/>
  <c r="I20" i="2" s="1"/>
  <c r="H21" i="2"/>
  <c r="H22" i="2"/>
  <c r="I22" i="2" s="1"/>
  <c r="H23" i="2"/>
  <c r="H24" i="2"/>
  <c r="H25" i="2"/>
  <c r="I25" i="2" s="1"/>
  <c r="H26" i="2"/>
  <c r="I26" i="2" s="1"/>
  <c r="H27" i="2"/>
  <c r="H28" i="2"/>
  <c r="I28" i="2" s="1"/>
  <c r="H29" i="2"/>
  <c r="I29" i="2" s="1"/>
  <c r="H30" i="2"/>
  <c r="I30" i="2" s="1"/>
  <c r="H31" i="2"/>
  <c r="H32" i="2"/>
  <c r="H33" i="2"/>
  <c r="I33" i="2" s="1"/>
  <c r="H34" i="2"/>
  <c r="I34" i="2" s="1"/>
  <c r="H35" i="2"/>
  <c r="H36" i="2"/>
  <c r="I36" i="2" s="1"/>
  <c r="H37" i="2"/>
  <c r="I37" i="2" s="1"/>
  <c r="H38" i="2"/>
  <c r="I38" i="2" s="1"/>
  <c r="H39" i="2"/>
  <c r="H40" i="2"/>
  <c r="H41" i="2"/>
  <c r="I41" i="2" s="1"/>
  <c r="H42" i="2"/>
  <c r="I42" i="2" s="1"/>
  <c r="H43" i="2"/>
  <c r="H44" i="2"/>
  <c r="I44" i="2" s="1"/>
  <c r="H45" i="2"/>
  <c r="I45" i="2" s="1"/>
  <c r="H46" i="2"/>
  <c r="I46" i="2" s="1"/>
  <c r="H47" i="2"/>
  <c r="H48" i="2"/>
  <c r="H49" i="2"/>
  <c r="H50" i="2"/>
  <c r="I50" i="2" s="1"/>
  <c r="H51" i="2"/>
  <c r="H52" i="2"/>
  <c r="I52" i="2" s="1"/>
  <c r="H53" i="2"/>
  <c r="H54" i="2"/>
  <c r="I54" i="2" s="1"/>
  <c r="H55" i="2"/>
  <c r="H56" i="2"/>
  <c r="I56" i="2" s="1"/>
  <c r="H57" i="2"/>
  <c r="I57" i="2" s="1"/>
  <c r="H58" i="2"/>
  <c r="I58" i="2" s="1"/>
  <c r="H59" i="2"/>
  <c r="H60" i="2"/>
  <c r="I60" i="2" s="1"/>
  <c r="H61" i="2"/>
  <c r="I61" i="2" s="1"/>
  <c r="H62" i="2"/>
  <c r="I62" i="2" s="1"/>
  <c r="H63" i="2"/>
  <c r="H64" i="2"/>
  <c r="H65" i="2"/>
  <c r="I65" i="2" s="1"/>
  <c r="H66" i="2"/>
  <c r="I66" i="2" s="1"/>
  <c r="H67" i="2"/>
  <c r="H68" i="2"/>
  <c r="I68" i="2" s="1"/>
  <c r="H69" i="2"/>
  <c r="H70" i="2"/>
  <c r="I70" i="2" s="1"/>
  <c r="H71" i="2"/>
  <c r="H72" i="2"/>
  <c r="H73" i="2"/>
  <c r="I73" i="2" s="1"/>
  <c r="H74" i="2"/>
  <c r="I74" i="2" s="1"/>
  <c r="H75" i="2"/>
  <c r="H76" i="2"/>
  <c r="I76" i="2" s="1"/>
  <c r="H77" i="2"/>
  <c r="I77" i="2" s="1"/>
  <c r="H78" i="2"/>
  <c r="I78" i="2" s="1"/>
  <c r="H79" i="2"/>
  <c r="H80" i="2"/>
  <c r="H81" i="2"/>
  <c r="H82" i="2"/>
  <c r="I82" i="2" s="1"/>
  <c r="H83" i="2"/>
  <c r="H84" i="2"/>
  <c r="I84" i="2" s="1"/>
  <c r="H85" i="2"/>
  <c r="H86" i="2"/>
  <c r="I86" i="2" s="1"/>
  <c r="H87" i="2"/>
  <c r="H88" i="2"/>
  <c r="I88" i="2" s="1"/>
  <c r="H89" i="2"/>
  <c r="I89" i="2" s="1"/>
  <c r="H90" i="2"/>
  <c r="I90" i="2" s="1"/>
  <c r="H91" i="2"/>
  <c r="H92" i="2"/>
  <c r="I92" i="2" s="1"/>
  <c r="H93" i="2"/>
  <c r="I93" i="2" s="1"/>
  <c r="H94" i="2"/>
  <c r="I94" i="2" s="1"/>
  <c r="H95" i="2"/>
  <c r="H96" i="2"/>
  <c r="I96" i="2" s="1"/>
  <c r="H97" i="2"/>
  <c r="I97" i="2" s="1"/>
  <c r="H98" i="2"/>
  <c r="I98" i="2" s="1"/>
  <c r="H99" i="2"/>
  <c r="H100" i="2"/>
  <c r="I100" i="2" s="1"/>
  <c r="H101" i="2"/>
  <c r="I101" i="2" s="1"/>
  <c r="H102" i="2"/>
  <c r="I102" i="2" s="1"/>
  <c r="H103" i="2"/>
  <c r="H104" i="2"/>
  <c r="I104" i="2" s="1"/>
  <c r="H105" i="2"/>
  <c r="I105" i="2" s="1"/>
  <c r="H106" i="2"/>
  <c r="I106" i="2" s="1"/>
  <c r="H107" i="2"/>
  <c r="H108" i="2"/>
  <c r="H109" i="2"/>
  <c r="I109" i="2" s="1"/>
  <c r="H110" i="2"/>
  <c r="I110" i="2" s="1"/>
  <c r="H111" i="2"/>
  <c r="H112" i="2"/>
  <c r="I112" i="2" s="1"/>
  <c r="H113" i="2"/>
  <c r="H114" i="2"/>
  <c r="I114" i="2" s="1"/>
  <c r="H115" i="2"/>
  <c r="H116" i="2"/>
  <c r="I116" i="2" s="1"/>
  <c r="H117" i="2"/>
  <c r="H118" i="2"/>
  <c r="I118" i="2" s="1"/>
  <c r="H119" i="2"/>
  <c r="H120" i="2"/>
  <c r="I120" i="2" s="1"/>
  <c r="H121" i="2"/>
  <c r="I121" i="2" s="1"/>
  <c r="H122" i="2"/>
  <c r="I122" i="2" s="1"/>
  <c r="H123" i="2"/>
  <c r="H124" i="2"/>
  <c r="H125" i="2"/>
  <c r="I125" i="2" s="1"/>
  <c r="H126" i="2"/>
  <c r="I126" i="2" s="1"/>
  <c r="H127" i="2"/>
  <c r="H128" i="2"/>
  <c r="I128" i="2" s="1"/>
  <c r="H129" i="2"/>
  <c r="I129" i="2" s="1"/>
  <c r="H130" i="2"/>
  <c r="I130" i="2" s="1"/>
  <c r="H131" i="2"/>
  <c r="H132" i="2"/>
  <c r="H133" i="2"/>
  <c r="H134" i="2"/>
  <c r="I134" i="2" s="1"/>
  <c r="H135" i="2"/>
  <c r="H136" i="2"/>
  <c r="I136" i="2" s="1"/>
  <c r="H137" i="2"/>
  <c r="I137" i="2" s="1"/>
  <c r="H138" i="2"/>
  <c r="I138" i="2" s="1"/>
  <c r="H139" i="2"/>
  <c r="H140" i="2"/>
  <c r="I140" i="2" s="1"/>
  <c r="H141" i="2"/>
  <c r="I141" i="2" s="1"/>
  <c r="H142" i="2"/>
  <c r="I142" i="2" s="1"/>
  <c r="H143" i="2"/>
  <c r="H144" i="2"/>
  <c r="I144" i="2" s="1"/>
  <c r="H145" i="2"/>
  <c r="H146" i="2"/>
  <c r="I146" i="2" s="1"/>
  <c r="H147" i="2"/>
  <c r="H148" i="2"/>
  <c r="I148" i="2" s="1"/>
  <c r="H149" i="2"/>
  <c r="H150" i="2"/>
  <c r="I150" i="2" s="1"/>
  <c r="H151" i="2"/>
  <c r="H152" i="2"/>
  <c r="I152" i="2" s="1"/>
  <c r="H153" i="2"/>
  <c r="I153" i="2" s="1"/>
  <c r="H154" i="2"/>
  <c r="I154" i="2" s="1"/>
  <c r="H155" i="2"/>
  <c r="H156" i="2"/>
  <c r="I156" i="2" s="1"/>
  <c r="H157" i="2"/>
  <c r="I157" i="2" s="1"/>
  <c r="H158" i="2"/>
  <c r="I158" i="2" s="1"/>
  <c r="H159" i="2"/>
  <c r="H160" i="2"/>
  <c r="I160" i="2" s="1"/>
  <c r="H161" i="2"/>
  <c r="I161" i="2" s="1"/>
  <c r="H162" i="2"/>
  <c r="I162" i="2" s="1"/>
  <c r="H163" i="2"/>
  <c r="H164" i="2"/>
  <c r="I164" i="2" s="1"/>
  <c r="H165" i="2"/>
  <c r="I165" i="2" s="1"/>
  <c r="H166" i="2"/>
  <c r="I166" i="2" s="1"/>
  <c r="H167" i="2"/>
  <c r="H168" i="2"/>
  <c r="I168" i="2" s="1"/>
  <c r="H169" i="2"/>
  <c r="I169" i="2" s="1"/>
  <c r="H170" i="2"/>
  <c r="I170" i="2" s="1"/>
  <c r="H171" i="2"/>
  <c r="H172" i="2"/>
  <c r="I172" i="2" s="1"/>
  <c r="H173" i="2"/>
  <c r="I173" i="2" s="1"/>
  <c r="H174" i="2"/>
  <c r="I174" i="2" s="1"/>
  <c r="H175" i="2"/>
  <c r="H176" i="2"/>
  <c r="I176" i="2" s="1"/>
  <c r="H177" i="2"/>
  <c r="H178" i="2"/>
  <c r="I178" i="2" s="1"/>
  <c r="H179" i="2"/>
  <c r="H180" i="2"/>
  <c r="I180" i="2" s="1"/>
  <c r="H181" i="2"/>
  <c r="H182" i="2"/>
  <c r="I182" i="2" s="1"/>
  <c r="H183" i="2"/>
  <c r="H184" i="2"/>
  <c r="I184" i="2" s="1"/>
  <c r="H185" i="2"/>
  <c r="I185" i="2" s="1"/>
  <c r="H186" i="2"/>
  <c r="I186" i="2" s="1"/>
  <c r="H187" i="2"/>
  <c r="H188" i="2"/>
  <c r="I188" i="2" s="1"/>
  <c r="H189" i="2"/>
  <c r="I189" i="2" s="1"/>
  <c r="H190" i="2"/>
  <c r="I190" i="2" s="1"/>
  <c r="H191" i="2"/>
  <c r="H192" i="2"/>
  <c r="I192" i="2" s="1"/>
  <c r="H193" i="2"/>
  <c r="I193" i="2" s="1"/>
  <c r="H194" i="2"/>
  <c r="I194" i="2" s="1"/>
  <c r="H195" i="2"/>
  <c r="H196" i="2"/>
  <c r="H197" i="2"/>
  <c r="H198" i="2"/>
  <c r="I198" i="2" s="1"/>
  <c r="H199" i="2"/>
  <c r="H200" i="2"/>
  <c r="I200" i="2" s="1"/>
  <c r="H201" i="2"/>
  <c r="I201" i="2" s="1"/>
  <c r="H202" i="2"/>
  <c r="I202" i="2" s="1"/>
  <c r="H203" i="2"/>
  <c r="H204" i="2"/>
  <c r="I204" i="2" s="1"/>
  <c r="H205" i="2"/>
  <c r="I205" i="2" s="1"/>
  <c r="H206" i="2"/>
  <c r="I206" i="2" s="1"/>
  <c r="H207" i="2"/>
  <c r="H208" i="2"/>
  <c r="I208" i="2" s="1"/>
  <c r="H209" i="2"/>
  <c r="H210" i="2"/>
  <c r="I210" i="2" s="1"/>
  <c r="H211" i="2"/>
  <c r="H212" i="2"/>
  <c r="I212" i="2" s="1"/>
  <c r="H213" i="2"/>
  <c r="H214" i="2"/>
  <c r="I214" i="2" s="1"/>
  <c r="H215" i="2"/>
  <c r="H216" i="2"/>
  <c r="H217" i="2"/>
  <c r="I217" i="2" s="1"/>
  <c r="H218" i="2"/>
  <c r="I218" i="2" s="1"/>
  <c r="H219" i="2"/>
  <c r="H220" i="2"/>
  <c r="I220" i="2" s="1"/>
  <c r="H221" i="2"/>
  <c r="I221" i="2" s="1"/>
  <c r="H222" i="2"/>
  <c r="I222" i="2" s="1"/>
  <c r="H223" i="2"/>
  <c r="H224" i="2"/>
  <c r="I224" i="2" s="1"/>
  <c r="H225" i="2"/>
  <c r="I225" i="2" s="1"/>
  <c r="H226" i="2"/>
  <c r="I226" i="2" s="1"/>
  <c r="H227" i="2"/>
  <c r="H228" i="2"/>
  <c r="I228" i="2" s="1"/>
  <c r="H229" i="2"/>
  <c r="I229" i="2" s="1"/>
  <c r="H230" i="2"/>
  <c r="I230" i="2" s="1"/>
  <c r="H231" i="2"/>
  <c r="H232" i="2"/>
  <c r="I232" i="2" s="1"/>
  <c r="H233" i="2"/>
  <c r="I233" i="2" s="1"/>
  <c r="H234" i="2"/>
  <c r="I234" i="2" s="1"/>
  <c r="H235" i="2"/>
  <c r="H236" i="2"/>
  <c r="I236" i="2" s="1"/>
  <c r="H237" i="2"/>
  <c r="I237" i="2" s="1"/>
  <c r="H238" i="2"/>
  <c r="I238" i="2" s="1"/>
  <c r="H239" i="2"/>
  <c r="H240" i="2"/>
  <c r="I240" i="2" s="1"/>
  <c r="H241" i="2"/>
  <c r="H242" i="2"/>
  <c r="I242" i="2" s="1"/>
  <c r="H243" i="2"/>
  <c r="H244" i="2"/>
  <c r="I244" i="2" s="1"/>
  <c r="H245" i="2"/>
  <c r="H246" i="2"/>
  <c r="I246" i="2" s="1"/>
  <c r="H247" i="2"/>
  <c r="H248" i="2"/>
  <c r="I248" i="2" s="1"/>
  <c r="H249" i="2"/>
  <c r="I249" i="2" s="1"/>
  <c r="H250" i="2"/>
  <c r="I250" i="2" s="1"/>
  <c r="H251" i="2"/>
  <c r="H252" i="2"/>
  <c r="H253" i="2"/>
  <c r="I253" i="2" s="1"/>
  <c r="H254" i="2"/>
  <c r="I254" i="2" s="1"/>
  <c r="H255" i="2"/>
  <c r="H256" i="2"/>
  <c r="I256" i="2" s="1"/>
  <c r="H257" i="2"/>
  <c r="I257" i="2" s="1"/>
  <c r="H258" i="2"/>
  <c r="I258" i="2" s="1"/>
  <c r="H259" i="2"/>
  <c r="H260" i="2"/>
  <c r="H261" i="2"/>
  <c r="H262" i="2"/>
  <c r="I262" i="2" s="1"/>
  <c r="H263" i="2"/>
  <c r="H264" i="2"/>
  <c r="I264" i="2" s="1"/>
  <c r="H265" i="2"/>
  <c r="I265" i="2" s="1"/>
  <c r="H266" i="2"/>
  <c r="I266" i="2" s="1"/>
  <c r="H267" i="2"/>
  <c r="H268" i="2"/>
  <c r="H269" i="2"/>
  <c r="I269" i="2" s="1"/>
  <c r="H270" i="2"/>
  <c r="I270" i="2" s="1"/>
  <c r="H271" i="2"/>
  <c r="H272" i="2"/>
  <c r="I272" i="2" s="1"/>
  <c r="H273" i="2"/>
  <c r="I273" i="2" s="1"/>
  <c r="H274" i="2"/>
  <c r="I274" i="2" s="1"/>
  <c r="H275" i="2"/>
  <c r="H276" i="2"/>
  <c r="I276" i="2" s="1"/>
  <c r="H277" i="2"/>
  <c r="H278" i="2"/>
  <c r="I278" i="2" s="1"/>
  <c r="H279" i="2"/>
  <c r="H280" i="2"/>
  <c r="I280" i="2" s="1"/>
  <c r="H281" i="2"/>
  <c r="I281" i="2" s="1"/>
  <c r="H282" i="2"/>
  <c r="I282" i="2" s="1"/>
  <c r="H283" i="2"/>
  <c r="H284" i="2"/>
  <c r="I284" i="2" s="1"/>
  <c r="H285" i="2"/>
  <c r="I285" i="2" s="1"/>
  <c r="H286" i="2"/>
  <c r="I286" i="2" s="1"/>
  <c r="H287" i="2"/>
  <c r="H288" i="2"/>
  <c r="I288" i="2" s="1"/>
  <c r="H289" i="2"/>
  <c r="I289" i="2" s="1"/>
  <c r="H290" i="2"/>
  <c r="I290" i="2" s="1"/>
  <c r="H291" i="2"/>
  <c r="I291" i="2" s="1"/>
  <c r="H292" i="2"/>
  <c r="H293" i="2"/>
  <c r="H294" i="2"/>
  <c r="I294" i="2" s="1"/>
  <c r="H295" i="2"/>
  <c r="H296" i="2"/>
  <c r="I296" i="2" s="1"/>
  <c r="H297" i="2"/>
  <c r="I297" i="2" s="1"/>
  <c r="H298" i="2"/>
  <c r="I298" i="2" s="1"/>
  <c r="H299" i="2"/>
  <c r="H300" i="2"/>
  <c r="H301" i="2"/>
  <c r="I301" i="2" s="1"/>
  <c r="H302" i="2"/>
  <c r="I302" i="2" s="1"/>
  <c r="H303" i="2"/>
  <c r="H304" i="2"/>
  <c r="I304" i="2" s="1"/>
  <c r="H305" i="2"/>
  <c r="I305" i="2" s="1"/>
  <c r="H306" i="2"/>
  <c r="I306" i="2" s="1"/>
  <c r="H307" i="2"/>
  <c r="H308" i="2"/>
  <c r="I308" i="2" s="1"/>
  <c r="H309" i="2"/>
  <c r="I309" i="2" s="1"/>
  <c r="H310" i="2"/>
  <c r="I310" i="2" s="1"/>
  <c r="H311" i="2"/>
  <c r="H312" i="2"/>
  <c r="H313" i="2"/>
  <c r="I313" i="2" s="1"/>
  <c r="H314" i="2"/>
  <c r="I314" i="2" s="1"/>
  <c r="H315" i="2"/>
  <c r="H316" i="2"/>
  <c r="I316" i="2" s="1"/>
  <c r="H317" i="2"/>
  <c r="I317" i="2" s="1"/>
  <c r="H318" i="2"/>
  <c r="I318" i="2" s="1"/>
  <c r="H319" i="2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H328" i="2"/>
  <c r="I328" i="2" s="1"/>
  <c r="H329" i="2"/>
  <c r="I329" i="2" s="1"/>
  <c r="H330" i="2"/>
  <c r="I330" i="2" s="1"/>
  <c r="H331" i="2"/>
  <c r="H332" i="2"/>
  <c r="I332" i="2" s="1"/>
  <c r="H333" i="2"/>
  <c r="I333" i="2" s="1"/>
  <c r="H334" i="2"/>
  <c r="I334" i="2" s="1"/>
  <c r="H335" i="2"/>
  <c r="H336" i="2"/>
  <c r="I336" i="2" s="1"/>
  <c r="H337" i="2"/>
  <c r="I337" i="2" s="1"/>
  <c r="H338" i="2"/>
  <c r="I338" i="2" s="1"/>
  <c r="H339" i="2"/>
  <c r="H340" i="2"/>
  <c r="I340" i="2" s="1"/>
  <c r="H341" i="2"/>
  <c r="H342" i="2"/>
  <c r="I342" i="2" s="1"/>
  <c r="H343" i="2"/>
  <c r="H344" i="2"/>
  <c r="I344" i="2" s="1"/>
  <c r="H345" i="2"/>
  <c r="I345" i="2" s="1"/>
  <c r="H346" i="2"/>
  <c r="I346" i="2" s="1"/>
  <c r="H347" i="2"/>
  <c r="H348" i="2"/>
  <c r="I348" i="2" s="1"/>
  <c r="H349" i="2"/>
  <c r="I349" i="2" s="1"/>
  <c r="H350" i="2"/>
  <c r="I350" i="2" s="1"/>
  <c r="H351" i="2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H360" i="2"/>
  <c r="I360" i="2" s="1"/>
  <c r="H361" i="2"/>
  <c r="I361" i="2" s="1"/>
  <c r="H362" i="2"/>
  <c r="I362" i="2" s="1"/>
  <c r="H363" i="2"/>
  <c r="H364" i="2"/>
  <c r="I364" i="2" s="1"/>
  <c r="H365" i="2"/>
  <c r="I365" i="2" s="1"/>
  <c r="H366" i="2"/>
  <c r="I366" i="2" s="1"/>
  <c r="H367" i="2"/>
  <c r="H368" i="2"/>
  <c r="I368" i="2" s="1"/>
  <c r="H369" i="2"/>
  <c r="I369" i="2" s="1"/>
  <c r="H370" i="2"/>
  <c r="I370" i="2" s="1"/>
  <c r="H371" i="2"/>
  <c r="H372" i="2"/>
  <c r="I372" i="2" s="1"/>
  <c r="H373" i="2"/>
  <c r="H374" i="2"/>
  <c r="I374" i="2" s="1"/>
  <c r="H375" i="2"/>
  <c r="H376" i="2"/>
  <c r="I376" i="2" s="1"/>
  <c r="H377" i="2"/>
  <c r="I377" i="2" s="1"/>
  <c r="H378" i="2"/>
  <c r="I378" i="2" s="1"/>
  <c r="H379" i="2"/>
  <c r="H380" i="2"/>
  <c r="I380" i="2" s="1"/>
  <c r="H381" i="2"/>
  <c r="I381" i="2" s="1"/>
  <c r="H382" i="2"/>
  <c r="I382" i="2" s="1"/>
  <c r="H383" i="2"/>
  <c r="H384" i="2"/>
  <c r="I384" i="2" s="1"/>
  <c r="H385" i="2"/>
  <c r="I385" i="2" s="1"/>
  <c r="H386" i="2"/>
  <c r="I386" i="2" s="1"/>
  <c r="H387" i="2"/>
  <c r="H388" i="2"/>
  <c r="I388" i="2" s="1"/>
  <c r="H389" i="2"/>
  <c r="I389" i="2" s="1"/>
  <c r="H390" i="2"/>
  <c r="I390" i="2" s="1"/>
  <c r="H391" i="2"/>
  <c r="H392" i="2"/>
  <c r="I392" i="2" s="1"/>
  <c r="H393" i="2"/>
  <c r="I393" i="2" s="1"/>
  <c r="H394" i="2"/>
  <c r="I394" i="2" s="1"/>
  <c r="H395" i="2"/>
  <c r="H396" i="2"/>
  <c r="I396" i="2" s="1"/>
  <c r="H397" i="2"/>
  <c r="I397" i="2" s="1"/>
  <c r="H398" i="2"/>
  <c r="I398" i="2" s="1"/>
  <c r="H399" i="2"/>
  <c r="H400" i="2"/>
  <c r="I400" i="2" s="1"/>
  <c r="H401" i="2"/>
  <c r="I401" i="2" s="1"/>
  <c r="H402" i="2"/>
  <c r="I402" i="2" s="1"/>
  <c r="H403" i="2"/>
  <c r="H404" i="2"/>
  <c r="I404" i="2" s="1"/>
  <c r="H405" i="2"/>
  <c r="H406" i="2"/>
  <c r="I406" i="2" s="1"/>
  <c r="H407" i="2"/>
  <c r="H408" i="2"/>
  <c r="I408" i="2" s="1"/>
  <c r="H409" i="2"/>
  <c r="I409" i="2" s="1"/>
  <c r="H410" i="2"/>
  <c r="I410" i="2" s="1"/>
  <c r="H411" i="2"/>
  <c r="H412" i="2"/>
  <c r="I412" i="2" s="1"/>
  <c r="H413" i="2"/>
  <c r="I413" i="2" s="1"/>
  <c r="H414" i="2"/>
  <c r="I414" i="2" s="1"/>
  <c r="H415" i="2"/>
  <c r="H416" i="2"/>
  <c r="I416" i="2" s="1"/>
  <c r="H417" i="2"/>
  <c r="I417" i="2" s="1"/>
  <c r="H418" i="2"/>
  <c r="I418" i="2" s="1"/>
  <c r="H419" i="2"/>
  <c r="H420" i="2"/>
  <c r="I420" i="2" s="1"/>
  <c r="H421" i="2"/>
  <c r="I421" i="2" s="1"/>
  <c r="H422" i="2"/>
  <c r="I422" i="2" s="1"/>
  <c r="H423" i="2"/>
  <c r="H424" i="2"/>
  <c r="H425" i="2"/>
  <c r="I425" i="2" s="1"/>
  <c r="H426" i="2"/>
  <c r="I426" i="2" s="1"/>
  <c r="H427" i="2"/>
  <c r="H428" i="2"/>
  <c r="I428" i="2" s="1"/>
  <c r="H429" i="2"/>
  <c r="I429" i="2" s="1"/>
  <c r="H430" i="2"/>
  <c r="I430" i="2" s="1"/>
  <c r="H431" i="2"/>
  <c r="H432" i="2"/>
  <c r="I432" i="2" s="1"/>
  <c r="H433" i="2"/>
  <c r="I433" i="2" s="1"/>
  <c r="H434" i="2"/>
  <c r="I434" i="2" s="1"/>
  <c r="H435" i="2"/>
  <c r="H436" i="2"/>
  <c r="I436" i="2" s="1"/>
  <c r="H437" i="2"/>
  <c r="H438" i="2"/>
  <c r="I438" i="2" s="1"/>
  <c r="H439" i="2"/>
  <c r="H440" i="2"/>
  <c r="I440" i="2" s="1"/>
  <c r="H441" i="2"/>
  <c r="I441" i="2" s="1"/>
  <c r="H442" i="2"/>
  <c r="I442" i="2" s="1"/>
  <c r="H443" i="2"/>
  <c r="H444" i="2"/>
  <c r="I444" i="2" s="1"/>
  <c r="H445" i="2"/>
  <c r="I445" i="2" s="1"/>
  <c r="H446" i="2"/>
  <c r="I446" i="2" s="1"/>
  <c r="H447" i="2"/>
  <c r="H448" i="2"/>
  <c r="I448" i="2" s="1"/>
  <c r="H449" i="2"/>
  <c r="I449" i="2" s="1"/>
  <c r="H450" i="2"/>
  <c r="I450" i="2" s="1"/>
  <c r="H451" i="2"/>
  <c r="H452" i="2"/>
  <c r="I452" i="2" s="1"/>
  <c r="H453" i="2"/>
  <c r="I453" i="2" s="1"/>
  <c r="H454" i="2"/>
  <c r="I454" i="2" s="1"/>
  <c r="H455" i="2"/>
  <c r="H456" i="2"/>
  <c r="H457" i="2"/>
  <c r="I457" i="2" s="1"/>
  <c r="H458" i="2"/>
  <c r="I458" i="2" s="1"/>
  <c r="H459" i="2"/>
  <c r="H460" i="2"/>
  <c r="I460" i="2" s="1"/>
  <c r="H461" i="2"/>
  <c r="I461" i="2" s="1"/>
  <c r="H462" i="2"/>
  <c r="I462" i="2" s="1"/>
  <c r="H463" i="2"/>
  <c r="H464" i="2"/>
  <c r="I464" i="2" s="1"/>
  <c r="H465" i="2"/>
  <c r="I465" i="2" s="1"/>
  <c r="H466" i="2"/>
  <c r="I466" i="2" s="1"/>
  <c r="H467" i="2"/>
  <c r="H468" i="2"/>
  <c r="H469" i="2"/>
  <c r="H470" i="2"/>
  <c r="I470" i="2" s="1"/>
  <c r="H471" i="2"/>
  <c r="H472" i="2"/>
  <c r="I472" i="2" s="1"/>
  <c r="H473" i="2"/>
  <c r="I473" i="2" s="1"/>
  <c r="H474" i="2"/>
  <c r="I474" i="2" s="1"/>
  <c r="H475" i="2"/>
  <c r="H476" i="2"/>
  <c r="H477" i="2"/>
  <c r="I477" i="2" s="1"/>
  <c r="H478" i="2"/>
  <c r="I478" i="2" s="1"/>
  <c r="H479" i="2"/>
  <c r="H480" i="2"/>
  <c r="I480" i="2" s="1"/>
  <c r="H481" i="2"/>
  <c r="I481" i="2" s="1"/>
  <c r="H482" i="2"/>
  <c r="I482" i="2" s="1"/>
  <c r="H483" i="2"/>
  <c r="H484" i="2"/>
  <c r="I484" i="2" s="1"/>
  <c r="H485" i="2"/>
  <c r="I485" i="2" s="1"/>
  <c r="H486" i="2"/>
  <c r="I486" i="2" s="1"/>
  <c r="H487" i="2"/>
  <c r="H488" i="2"/>
  <c r="I488" i="2" s="1"/>
  <c r="H489" i="2"/>
  <c r="I489" i="2" s="1"/>
  <c r="H490" i="2"/>
  <c r="I490" i="2" s="1"/>
  <c r="H491" i="2"/>
  <c r="H492" i="2"/>
  <c r="I492" i="2" s="1"/>
  <c r="H493" i="2"/>
  <c r="I493" i="2" s="1"/>
  <c r="H494" i="2"/>
  <c r="I494" i="2" s="1"/>
  <c r="H495" i="2"/>
  <c r="H496" i="2"/>
  <c r="H497" i="2"/>
  <c r="I497" i="2" s="1"/>
  <c r="H498" i="2"/>
  <c r="I498" i="2" s="1"/>
  <c r="H499" i="2"/>
  <c r="H500" i="2"/>
  <c r="I500" i="2" s="1"/>
  <c r="H501" i="2"/>
  <c r="H502" i="2"/>
  <c r="I502" i="2" s="1"/>
  <c r="H503" i="2"/>
  <c r="H504" i="2"/>
  <c r="I504" i="2" s="1"/>
  <c r="H505" i="2"/>
  <c r="I505" i="2" s="1"/>
  <c r="H506" i="2"/>
  <c r="I506" i="2" s="1"/>
  <c r="H507" i="2"/>
  <c r="H508" i="2"/>
  <c r="I508" i="2" s="1"/>
  <c r="H509" i="2"/>
  <c r="I509" i="2" s="1"/>
  <c r="H510" i="2"/>
  <c r="I510" i="2" s="1"/>
  <c r="H511" i="2"/>
  <c r="H512" i="2"/>
  <c r="I512" i="2" s="1"/>
  <c r="H513" i="2"/>
  <c r="I513" i="2" s="1"/>
  <c r="H514" i="2"/>
  <c r="I514" i="2" s="1"/>
  <c r="H515" i="2"/>
  <c r="H516" i="2"/>
  <c r="I516" i="2" s="1"/>
  <c r="H517" i="2"/>
  <c r="I517" i="2" s="1"/>
  <c r="H518" i="2"/>
  <c r="I518" i="2" s="1"/>
  <c r="H519" i="2"/>
  <c r="H520" i="2"/>
  <c r="I520" i="2" s="1"/>
  <c r="H521" i="2"/>
  <c r="I521" i="2" s="1"/>
  <c r="H522" i="2"/>
  <c r="I522" i="2" s="1"/>
  <c r="H523" i="2"/>
  <c r="H524" i="2"/>
  <c r="I524" i="2" s="1"/>
  <c r="H525" i="2"/>
  <c r="I525" i="2" s="1"/>
  <c r="H526" i="2"/>
  <c r="I526" i="2" s="1"/>
  <c r="H527" i="2"/>
  <c r="H528" i="2"/>
  <c r="I528" i="2" s="1"/>
  <c r="H529" i="2"/>
  <c r="I529" i="2" s="1"/>
  <c r="H530" i="2"/>
  <c r="I530" i="2" s="1"/>
  <c r="H531" i="2"/>
  <c r="H532" i="2"/>
  <c r="I532" i="2" s="1"/>
  <c r="H533" i="2"/>
  <c r="H534" i="2"/>
  <c r="I534" i="2" s="1"/>
  <c r="H535" i="2"/>
  <c r="H536" i="2"/>
  <c r="I536" i="2" s="1"/>
  <c r="H537" i="2"/>
  <c r="I537" i="2" s="1"/>
  <c r="H538" i="2"/>
  <c r="I538" i="2" s="1"/>
  <c r="H539" i="2"/>
  <c r="H540" i="2"/>
  <c r="I540" i="2" s="1"/>
  <c r="H541" i="2"/>
  <c r="I541" i="2" s="1"/>
  <c r="H542" i="2"/>
  <c r="I542" i="2" s="1"/>
  <c r="H543" i="2"/>
  <c r="H544" i="2"/>
  <c r="I544" i="2" s="1"/>
  <c r="H545" i="2"/>
  <c r="I545" i="2" s="1"/>
  <c r="H546" i="2"/>
  <c r="I546" i="2" s="1"/>
  <c r="H547" i="2"/>
  <c r="H548" i="2"/>
  <c r="H549" i="2"/>
  <c r="I549" i="2" s="1"/>
  <c r="H550" i="2"/>
  <c r="I550" i="2" s="1"/>
  <c r="H551" i="2"/>
  <c r="H552" i="2"/>
  <c r="I552" i="2" s="1"/>
  <c r="H553" i="2"/>
  <c r="I553" i="2" s="1"/>
  <c r="H554" i="2"/>
  <c r="I554" i="2" s="1"/>
  <c r="H555" i="2"/>
  <c r="H556" i="2"/>
  <c r="I556" i="2" s="1"/>
  <c r="H557" i="2"/>
  <c r="I557" i="2" s="1"/>
  <c r="H558" i="2"/>
  <c r="I558" i="2" s="1"/>
  <c r="H559" i="2"/>
  <c r="H560" i="2"/>
  <c r="I560" i="2" s="1"/>
  <c r="H561" i="2"/>
  <c r="I561" i="2" s="1"/>
  <c r="H562" i="2"/>
  <c r="I562" i="2" s="1"/>
  <c r="H563" i="2"/>
  <c r="H564" i="2"/>
  <c r="I564" i="2" s="1"/>
  <c r="H565" i="2"/>
  <c r="H566" i="2"/>
  <c r="I566" i="2" s="1"/>
  <c r="H567" i="2"/>
  <c r="H568" i="2"/>
  <c r="I568" i="2" s="1"/>
  <c r="H569" i="2"/>
  <c r="I569" i="2" s="1"/>
  <c r="H570" i="2"/>
  <c r="I570" i="2" s="1"/>
  <c r="H571" i="2"/>
  <c r="H572" i="2"/>
  <c r="I572" i="2" s="1"/>
  <c r="H573" i="2"/>
  <c r="I573" i="2" s="1"/>
  <c r="H574" i="2"/>
  <c r="I574" i="2" s="1"/>
  <c r="H575" i="2"/>
  <c r="H576" i="2"/>
  <c r="I576" i="2" s="1"/>
  <c r="H577" i="2"/>
  <c r="I577" i="2" s="1"/>
  <c r="H578" i="2"/>
  <c r="I578" i="2" s="1"/>
  <c r="H579" i="2"/>
  <c r="H580" i="2"/>
  <c r="H581" i="2"/>
  <c r="I581" i="2" s="1"/>
  <c r="H582" i="2"/>
  <c r="I582" i="2" s="1"/>
  <c r="H583" i="2"/>
  <c r="H584" i="2"/>
  <c r="I584" i="2" s="1"/>
  <c r="H585" i="2"/>
  <c r="I585" i="2" s="1"/>
  <c r="H586" i="2"/>
  <c r="I586" i="2" s="1"/>
  <c r="H587" i="2"/>
  <c r="H588" i="2"/>
  <c r="I588" i="2" s="1"/>
  <c r="H589" i="2"/>
  <c r="I589" i="2" s="1"/>
  <c r="H590" i="2"/>
  <c r="I590" i="2" s="1"/>
  <c r="H591" i="2"/>
  <c r="H592" i="2"/>
  <c r="I592" i="2" s="1"/>
  <c r="H593" i="2"/>
  <c r="I593" i="2" s="1"/>
  <c r="H594" i="2"/>
  <c r="I594" i="2" s="1"/>
  <c r="H595" i="2"/>
  <c r="H596" i="2"/>
  <c r="I596" i="2" s="1"/>
  <c r="H597" i="2"/>
  <c r="H598" i="2"/>
  <c r="I598" i="2" s="1"/>
  <c r="H599" i="2"/>
  <c r="H600" i="2"/>
  <c r="I600" i="2" s="1"/>
  <c r="H601" i="2"/>
  <c r="I601" i="2" s="1"/>
  <c r="H602" i="2"/>
  <c r="I602" i="2" s="1"/>
  <c r="H603" i="2"/>
  <c r="H604" i="2"/>
  <c r="I604" i="2" s="1"/>
  <c r="H605" i="2"/>
  <c r="I605" i="2" s="1"/>
  <c r="H606" i="2"/>
  <c r="I606" i="2" s="1"/>
  <c r="H607" i="2"/>
  <c r="H608" i="2"/>
  <c r="I608" i="2" s="1"/>
  <c r="H609" i="2"/>
  <c r="I609" i="2" s="1"/>
  <c r="H610" i="2"/>
  <c r="I610" i="2" s="1"/>
  <c r="H611" i="2"/>
  <c r="H612" i="2"/>
  <c r="I612" i="2" s="1"/>
  <c r="H613" i="2"/>
  <c r="I613" i="2" s="1"/>
  <c r="H614" i="2"/>
  <c r="I614" i="2" s="1"/>
  <c r="H615" i="2"/>
  <c r="H616" i="2"/>
  <c r="I616" i="2" s="1"/>
  <c r="H617" i="2"/>
  <c r="I617" i="2" s="1"/>
  <c r="H618" i="2"/>
  <c r="I618" i="2" s="1"/>
  <c r="H619" i="2"/>
  <c r="H620" i="2"/>
  <c r="I620" i="2" s="1"/>
  <c r="H621" i="2"/>
  <c r="I621" i="2" s="1"/>
  <c r="H622" i="2"/>
  <c r="I622" i="2" s="1"/>
  <c r="H623" i="2"/>
  <c r="H624" i="2"/>
  <c r="I624" i="2" s="1"/>
  <c r="H625" i="2"/>
  <c r="I625" i="2" s="1"/>
  <c r="H626" i="2"/>
  <c r="I626" i="2" s="1"/>
  <c r="H627" i="2"/>
  <c r="H628" i="2"/>
  <c r="I628" i="2" s="1"/>
  <c r="H629" i="2"/>
  <c r="H630" i="2"/>
  <c r="I630" i="2" s="1"/>
  <c r="H631" i="2"/>
  <c r="H632" i="2"/>
  <c r="I632" i="2" s="1"/>
  <c r="H633" i="2"/>
  <c r="I633" i="2" s="1"/>
  <c r="H634" i="2"/>
  <c r="I634" i="2" s="1"/>
  <c r="H635" i="2"/>
  <c r="H636" i="2"/>
  <c r="I636" i="2" s="1"/>
  <c r="H637" i="2"/>
  <c r="I637" i="2" s="1"/>
  <c r="H638" i="2"/>
  <c r="I638" i="2" s="1"/>
  <c r="H639" i="2"/>
  <c r="H640" i="2"/>
  <c r="I640" i="2" s="1"/>
  <c r="H641" i="2"/>
  <c r="I641" i="2" s="1"/>
  <c r="H642" i="2"/>
  <c r="I642" i="2" s="1"/>
  <c r="H643" i="2"/>
  <c r="H644" i="2"/>
  <c r="I644" i="2" s="1"/>
  <c r="H645" i="2"/>
  <c r="I645" i="2" s="1"/>
  <c r="H646" i="2"/>
  <c r="I646" i="2" s="1"/>
  <c r="H647" i="2"/>
  <c r="H648" i="2"/>
  <c r="I648" i="2" s="1"/>
  <c r="H649" i="2"/>
  <c r="I649" i="2" s="1"/>
  <c r="H650" i="2"/>
  <c r="I650" i="2" s="1"/>
  <c r="H651" i="2"/>
  <c r="H652" i="2"/>
  <c r="I652" i="2" s="1"/>
  <c r="H653" i="2"/>
  <c r="I653" i="2" s="1"/>
  <c r="H654" i="2"/>
  <c r="I654" i="2" s="1"/>
  <c r="H655" i="2"/>
  <c r="H656" i="2"/>
  <c r="I656" i="2" s="1"/>
  <c r="H657" i="2"/>
  <c r="I657" i="2" s="1"/>
  <c r="H658" i="2"/>
  <c r="I658" i="2" s="1"/>
  <c r="H659" i="2"/>
  <c r="H660" i="2"/>
  <c r="I660" i="2" s="1"/>
  <c r="H661" i="2"/>
  <c r="H662" i="2"/>
  <c r="I662" i="2" s="1"/>
  <c r="H663" i="2"/>
  <c r="H664" i="2"/>
  <c r="I664" i="2" s="1"/>
  <c r="H665" i="2"/>
  <c r="I665" i="2" s="1"/>
  <c r="H666" i="2"/>
  <c r="I666" i="2" s="1"/>
  <c r="H667" i="2"/>
  <c r="H668" i="2"/>
  <c r="I668" i="2" s="1"/>
  <c r="H669" i="2"/>
  <c r="I669" i="2" s="1"/>
  <c r="H670" i="2"/>
  <c r="I670" i="2" s="1"/>
  <c r="H671" i="2"/>
  <c r="H672" i="2"/>
  <c r="I672" i="2" s="1"/>
  <c r="H673" i="2"/>
  <c r="I673" i="2" s="1"/>
  <c r="H674" i="2"/>
  <c r="I674" i="2" s="1"/>
  <c r="H675" i="2"/>
  <c r="H676" i="2"/>
  <c r="I676" i="2" s="1"/>
  <c r="H677" i="2"/>
  <c r="I677" i="2" s="1"/>
  <c r="H678" i="2"/>
  <c r="I678" i="2" s="1"/>
  <c r="H679" i="2"/>
  <c r="H680" i="2"/>
  <c r="H681" i="2"/>
  <c r="I681" i="2" s="1"/>
  <c r="H682" i="2"/>
  <c r="I682" i="2" s="1"/>
  <c r="H683" i="2"/>
  <c r="H684" i="2"/>
  <c r="I684" i="2" s="1"/>
  <c r="H685" i="2"/>
  <c r="I685" i="2" s="1"/>
  <c r="H686" i="2"/>
  <c r="I686" i="2" s="1"/>
  <c r="H687" i="2"/>
  <c r="H688" i="2"/>
  <c r="I688" i="2" s="1"/>
  <c r="H689" i="2"/>
  <c r="I689" i="2" s="1"/>
  <c r="H690" i="2"/>
  <c r="I690" i="2" s="1"/>
  <c r="H691" i="2"/>
  <c r="H692" i="2"/>
  <c r="I692" i="2" s="1"/>
  <c r="H693" i="2"/>
  <c r="H694" i="2"/>
  <c r="I694" i="2" s="1"/>
  <c r="H695" i="2"/>
  <c r="H696" i="2"/>
  <c r="I696" i="2" s="1"/>
  <c r="H697" i="2"/>
  <c r="I697" i="2" s="1"/>
  <c r="H698" i="2"/>
  <c r="I698" i="2" s="1"/>
  <c r="H699" i="2"/>
  <c r="H700" i="2"/>
  <c r="I700" i="2" s="1"/>
  <c r="H701" i="2"/>
  <c r="I701" i="2" s="1"/>
  <c r="H702" i="2"/>
  <c r="I702" i="2" s="1"/>
  <c r="H703" i="2"/>
  <c r="H704" i="2"/>
  <c r="I704" i="2" s="1"/>
  <c r="H705" i="2"/>
  <c r="I705" i="2" s="1"/>
  <c r="H706" i="2"/>
  <c r="I706" i="2" s="1"/>
  <c r="H707" i="2"/>
  <c r="H708" i="2"/>
  <c r="I708" i="2" s="1"/>
  <c r="H709" i="2"/>
  <c r="I709" i="2" s="1"/>
  <c r="H710" i="2"/>
  <c r="I710" i="2" s="1"/>
  <c r="H711" i="2"/>
  <c r="H712" i="2"/>
  <c r="H713" i="2"/>
  <c r="I713" i="2" s="1"/>
  <c r="H714" i="2"/>
  <c r="I714" i="2" s="1"/>
  <c r="H715" i="2"/>
  <c r="H716" i="2"/>
  <c r="I716" i="2" s="1"/>
  <c r="H717" i="2"/>
  <c r="I717" i="2" s="1"/>
  <c r="H718" i="2"/>
  <c r="I718" i="2" s="1"/>
  <c r="H719" i="2"/>
  <c r="H720" i="2"/>
  <c r="I720" i="2" s="1"/>
  <c r="H721" i="2"/>
  <c r="I721" i="2" s="1"/>
  <c r="H722" i="2"/>
  <c r="I722" i="2" s="1"/>
  <c r="H723" i="2"/>
  <c r="H724" i="2"/>
  <c r="I724" i="2" s="1"/>
  <c r="H725" i="2"/>
  <c r="H726" i="2"/>
  <c r="I726" i="2" s="1"/>
  <c r="H727" i="2"/>
  <c r="H728" i="2"/>
  <c r="I728" i="2" s="1"/>
  <c r="H729" i="2"/>
  <c r="I729" i="2" s="1"/>
  <c r="H730" i="2"/>
  <c r="I730" i="2" s="1"/>
  <c r="H731" i="2"/>
  <c r="H732" i="2"/>
  <c r="I732" i="2" s="1"/>
  <c r="H733" i="2"/>
  <c r="I733" i="2" s="1"/>
  <c r="H734" i="2"/>
  <c r="I734" i="2" s="1"/>
  <c r="H735" i="2"/>
  <c r="H736" i="2"/>
  <c r="I736" i="2" s="1"/>
  <c r="H737" i="2"/>
  <c r="I737" i="2" s="1"/>
  <c r="H738" i="2"/>
  <c r="I738" i="2" s="1"/>
  <c r="H739" i="2"/>
  <c r="H740" i="2"/>
  <c r="I740" i="2" s="1"/>
  <c r="H741" i="2"/>
  <c r="I741" i="2" s="1"/>
  <c r="H742" i="2"/>
  <c r="I742" i="2" s="1"/>
  <c r="H743" i="2"/>
  <c r="H744" i="2"/>
  <c r="I744" i="2" s="1"/>
  <c r="H745" i="2"/>
  <c r="I745" i="2" s="1"/>
  <c r="H746" i="2"/>
  <c r="I746" i="2" s="1"/>
  <c r="H747" i="2"/>
  <c r="H748" i="2"/>
  <c r="I748" i="2" s="1"/>
  <c r="H749" i="2"/>
  <c r="I749" i="2" s="1"/>
  <c r="H750" i="2"/>
  <c r="I750" i="2" s="1"/>
  <c r="H751" i="2"/>
  <c r="H752" i="2"/>
  <c r="H753" i="2"/>
  <c r="I753" i="2" s="1"/>
  <c r="H754" i="2"/>
  <c r="I754" i="2" s="1"/>
  <c r="H755" i="2"/>
  <c r="H756" i="2"/>
  <c r="I756" i="2" s="1"/>
  <c r="H757" i="2"/>
  <c r="I757" i="2" s="1"/>
  <c r="H758" i="2"/>
  <c r="I758" i="2" s="1"/>
  <c r="H759" i="2"/>
  <c r="H760" i="2"/>
  <c r="I760" i="2" s="1"/>
  <c r="H761" i="2"/>
  <c r="I761" i="2" s="1"/>
  <c r="H762" i="2"/>
  <c r="I762" i="2" s="1"/>
  <c r="H763" i="2"/>
  <c r="H764" i="2"/>
  <c r="I764" i="2" s="1"/>
  <c r="H765" i="2"/>
  <c r="I765" i="2" s="1"/>
  <c r="H766" i="2"/>
  <c r="I766" i="2" s="1"/>
  <c r="H767" i="2"/>
  <c r="H768" i="2"/>
  <c r="I768" i="2" s="1"/>
  <c r="H769" i="2"/>
  <c r="I769" i="2" s="1"/>
  <c r="H770" i="2"/>
  <c r="I770" i="2" s="1"/>
  <c r="H771" i="2"/>
  <c r="I771" i="2" s="1"/>
  <c r="H772" i="2"/>
  <c r="I772" i="2" s="1"/>
  <c r="H773" i="2"/>
  <c r="I773" i="2" s="1"/>
  <c r="H774" i="2"/>
  <c r="I774" i="2" s="1"/>
  <c r="H775" i="2"/>
  <c r="H776" i="2"/>
  <c r="I776" i="2" s="1"/>
  <c r="H777" i="2"/>
  <c r="I777" i="2" s="1"/>
  <c r="H778" i="2"/>
  <c r="I778" i="2" s="1"/>
  <c r="H779" i="2"/>
  <c r="H780" i="2"/>
  <c r="I780" i="2" s="1"/>
  <c r="H781" i="2"/>
  <c r="I781" i="2" s="1"/>
  <c r="H782" i="2"/>
  <c r="I782" i="2" s="1"/>
  <c r="H783" i="2"/>
  <c r="I783" i="2" s="1"/>
  <c r="H784" i="2"/>
  <c r="I784" i="2" s="1"/>
  <c r="H785" i="2"/>
  <c r="I785" i="2" s="1"/>
  <c r="H786" i="2"/>
  <c r="I786" i="2" s="1"/>
  <c r="H787" i="2"/>
  <c r="H788" i="2"/>
  <c r="I788" i="2" s="1"/>
  <c r="H789" i="2"/>
  <c r="I789" i="2" s="1"/>
  <c r="H790" i="2"/>
  <c r="I790" i="2" s="1"/>
  <c r="H791" i="2"/>
  <c r="H792" i="2"/>
  <c r="I792" i="2" s="1"/>
  <c r="H793" i="2"/>
  <c r="I793" i="2" s="1"/>
  <c r="H794" i="2"/>
  <c r="I794" i="2" s="1"/>
  <c r="H795" i="2"/>
  <c r="H796" i="2"/>
  <c r="I796" i="2" s="1"/>
  <c r="H797" i="2"/>
  <c r="I797" i="2" s="1"/>
  <c r="H798" i="2"/>
  <c r="I798" i="2" s="1"/>
  <c r="H799" i="2"/>
  <c r="H800" i="2"/>
  <c r="I800" i="2" s="1"/>
  <c r="H801" i="2"/>
  <c r="I801" i="2" s="1"/>
  <c r="H802" i="2"/>
  <c r="I802" i="2" s="1"/>
  <c r="H803" i="2"/>
  <c r="H804" i="2"/>
  <c r="I804" i="2" s="1"/>
  <c r="H805" i="2"/>
  <c r="I805" i="2" s="1"/>
  <c r="H806" i="2"/>
  <c r="I806" i="2" s="1"/>
  <c r="H807" i="2"/>
  <c r="H808" i="2"/>
  <c r="I808" i="2" s="1"/>
  <c r="H809" i="2"/>
  <c r="I809" i="2" s="1"/>
  <c r="H810" i="2"/>
  <c r="I810" i="2" s="1"/>
  <c r="H811" i="2"/>
  <c r="H812" i="2"/>
  <c r="I812" i="2" s="1"/>
  <c r="H813" i="2"/>
  <c r="I813" i="2" s="1"/>
  <c r="H814" i="2"/>
  <c r="I814" i="2" s="1"/>
  <c r="H815" i="2"/>
  <c r="H816" i="2"/>
  <c r="I816" i="2" s="1"/>
  <c r="H817" i="2"/>
  <c r="I817" i="2" s="1"/>
  <c r="H818" i="2"/>
  <c r="I818" i="2" s="1"/>
  <c r="H819" i="2"/>
  <c r="H820" i="2"/>
  <c r="I820" i="2" s="1"/>
  <c r="H821" i="2"/>
  <c r="I821" i="2" s="1"/>
  <c r="H822" i="2"/>
  <c r="I822" i="2" s="1"/>
  <c r="H823" i="2"/>
  <c r="H824" i="2"/>
  <c r="I824" i="2" s="1"/>
  <c r="H825" i="2"/>
  <c r="I825" i="2" s="1"/>
  <c r="H826" i="2"/>
  <c r="I826" i="2" s="1"/>
  <c r="H827" i="2"/>
  <c r="H828" i="2"/>
  <c r="I828" i="2" s="1"/>
  <c r="H829" i="2"/>
  <c r="I829" i="2" s="1"/>
  <c r="H830" i="2"/>
  <c r="I830" i="2" s="1"/>
  <c r="H831" i="2"/>
  <c r="H832" i="2"/>
  <c r="I832" i="2" s="1"/>
  <c r="H833" i="2"/>
  <c r="I833" i="2" s="1"/>
  <c r="H834" i="2"/>
  <c r="I834" i="2" s="1"/>
  <c r="H835" i="2"/>
  <c r="H836" i="2"/>
  <c r="I836" i="2" s="1"/>
  <c r="H837" i="2"/>
  <c r="I837" i="2" s="1"/>
  <c r="H838" i="2"/>
  <c r="I838" i="2" s="1"/>
  <c r="H839" i="2"/>
  <c r="H840" i="2"/>
  <c r="I840" i="2" s="1"/>
  <c r="H841" i="2"/>
  <c r="I841" i="2" s="1"/>
  <c r="H842" i="2"/>
  <c r="I842" i="2" s="1"/>
  <c r="H843" i="2"/>
  <c r="H844" i="2"/>
  <c r="I844" i="2" s="1"/>
  <c r="H845" i="2"/>
  <c r="I845" i="2" s="1"/>
  <c r="H846" i="2"/>
  <c r="I846" i="2" s="1"/>
  <c r="H847" i="2"/>
  <c r="H848" i="2"/>
  <c r="I848" i="2" s="1"/>
  <c r="H849" i="2"/>
  <c r="I849" i="2" s="1"/>
  <c r="H850" i="2"/>
  <c r="I850" i="2" s="1"/>
  <c r="H851" i="2"/>
  <c r="H852" i="2"/>
  <c r="I852" i="2" s="1"/>
  <c r="H853" i="2"/>
  <c r="I853" i="2" s="1"/>
  <c r="H854" i="2"/>
  <c r="I854" i="2" s="1"/>
  <c r="H855" i="2"/>
  <c r="H856" i="2"/>
  <c r="I856" i="2" s="1"/>
  <c r="H857" i="2"/>
  <c r="I857" i="2" s="1"/>
  <c r="H858" i="2"/>
  <c r="I858" i="2" s="1"/>
  <c r="H859" i="2"/>
  <c r="H860" i="2"/>
  <c r="I860" i="2" s="1"/>
  <c r="H861" i="2"/>
  <c r="H862" i="2"/>
  <c r="I862" i="2" s="1"/>
  <c r="H863" i="2"/>
  <c r="H864" i="2"/>
  <c r="I864" i="2" s="1"/>
  <c r="H865" i="2"/>
  <c r="I865" i="2" s="1"/>
  <c r="H866" i="2"/>
  <c r="I866" i="2" s="1"/>
  <c r="H867" i="2"/>
  <c r="H868" i="2"/>
  <c r="I868" i="2" s="1"/>
  <c r="H869" i="2"/>
  <c r="I869" i="2" s="1"/>
  <c r="H870" i="2"/>
  <c r="I870" i="2" s="1"/>
  <c r="H871" i="2"/>
  <c r="H872" i="2"/>
  <c r="I872" i="2" s="1"/>
  <c r="H873" i="2"/>
  <c r="I873" i="2" s="1"/>
  <c r="H874" i="2"/>
  <c r="I874" i="2" s="1"/>
  <c r="H875" i="2"/>
  <c r="H876" i="2"/>
  <c r="I876" i="2" s="1"/>
  <c r="H877" i="2"/>
  <c r="I877" i="2" s="1"/>
  <c r="H878" i="2"/>
  <c r="I878" i="2" s="1"/>
  <c r="H879" i="2"/>
  <c r="H880" i="2"/>
  <c r="I880" i="2" s="1"/>
  <c r="H881" i="2"/>
  <c r="I881" i="2" s="1"/>
  <c r="H882" i="2"/>
  <c r="I882" i="2" s="1"/>
  <c r="H883" i="2"/>
  <c r="H884" i="2"/>
  <c r="I884" i="2" s="1"/>
  <c r="H885" i="2"/>
  <c r="I885" i="2" s="1"/>
  <c r="H886" i="2"/>
  <c r="I886" i="2" s="1"/>
  <c r="H887" i="2"/>
  <c r="H888" i="2"/>
  <c r="I888" i="2" s="1"/>
  <c r="H889" i="2"/>
  <c r="I889" i="2" s="1"/>
  <c r="H890" i="2"/>
  <c r="I890" i="2" s="1"/>
  <c r="H891" i="2"/>
  <c r="H892" i="2"/>
  <c r="I892" i="2" s="1"/>
  <c r="H893" i="2"/>
  <c r="H894" i="2"/>
  <c r="I894" i="2" s="1"/>
  <c r="H895" i="2"/>
  <c r="H896" i="2"/>
  <c r="I896" i="2" s="1"/>
  <c r="H897" i="2"/>
  <c r="I897" i="2" s="1"/>
  <c r="H898" i="2"/>
  <c r="I898" i="2" s="1"/>
  <c r="H899" i="2"/>
  <c r="H900" i="2"/>
  <c r="I900" i="2" s="1"/>
  <c r="H901" i="2"/>
  <c r="I901" i="2" s="1"/>
  <c r="H902" i="2"/>
  <c r="I902" i="2" s="1"/>
  <c r="H903" i="2"/>
  <c r="H904" i="2"/>
  <c r="I904" i="2" s="1"/>
  <c r="H905" i="2"/>
  <c r="I905" i="2" s="1"/>
  <c r="H906" i="2"/>
  <c r="I906" i="2" s="1"/>
  <c r="H907" i="2"/>
  <c r="H908" i="2"/>
  <c r="I908" i="2" s="1"/>
  <c r="H909" i="2"/>
  <c r="I909" i="2" s="1"/>
  <c r="H910" i="2"/>
  <c r="I910" i="2" s="1"/>
  <c r="H911" i="2"/>
  <c r="H912" i="2"/>
  <c r="I912" i="2" s="1"/>
  <c r="H913" i="2"/>
  <c r="I913" i="2" s="1"/>
  <c r="H914" i="2"/>
  <c r="I914" i="2" s="1"/>
  <c r="H915" i="2"/>
  <c r="H916" i="2"/>
  <c r="I916" i="2" s="1"/>
  <c r="H917" i="2"/>
  <c r="I917" i="2" s="1"/>
  <c r="H918" i="2"/>
  <c r="I918" i="2" s="1"/>
  <c r="H919" i="2"/>
  <c r="H920" i="2"/>
  <c r="I920" i="2" s="1"/>
  <c r="H921" i="2"/>
  <c r="I921" i="2" s="1"/>
  <c r="H922" i="2"/>
  <c r="I922" i="2" s="1"/>
  <c r="H923" i="2"/>
  <c r="H924" i="2"/>
  <c r="H925" i="2"/>
  <c r="I925" i="2" s="1"/>
  <c r="H926" i="2"/>
  <c r="I926" i="2" s="1"/>
  <c r="H927" i="2"/>
  <c r="H928" i="2"/>
  <c r="I928" i="2" s="1"/>
  <c r="H929" i="2"/>
  <c r="I929" i="2" s="1"/>
  <c r="H930" i="2"/>
  <c r="I930" i="2" s="1"/>
  <c r="H931" i="2"/>
  <c r="H932" i="2"/>
  <c r="I932" i="2" s="1"/>
  <c r="H933" i="2"/>
  <c r="I933" i="2" s="1"/>
  <c r="H934" i="2"/>
  <c r="I934" i="2" s="1"/>
  <c r="H935" i="2"/>
  <c r="H936" i="2"/>
  <c r="I936" i="2" s="1"/>
  <c r="H937" i="2"/>
  <c r="I937" i="2" s="1"/>
  <c r="H938" i="2"/>
  <c r="I938" i="2" s="1"/>
  <c r="H939" i="2"/>
  <c r="H940" i="2"/>
  <c r="I940" i="2" s="1"/>
  <c r="H941" i="2"/>
  <c r="I941" i="2" s="1"/>
  <c r="H942" i="2"/>
  <c r="I942" i="2" s="1"/>
  <c r="H943" i="2"/>
  <c r="H944" i="2"/>
  <c r="I944" i="2" s="1"/>
  <c r="H945" i="2"/>
  <c r="I945" i="2" s="1"/>
  <c r="H946" i="2"/>
  <c r="I946" i="2" s="1"/>
  <c r="H947" i="2"/>
  <c r="H948" i="2"/>
  <c r="I948" i="2" s="1"/>
  <c r="H949" i="2"/>
  <c r="I949" i="2" s="1"/>
  <c r="H950" i="2"/>
  <c r="I950" i="2" s="1"/>
  <c r="H951" i="2"/>
  <c r="H952" i="2"/>
  <c r="I952" i="2" s="1"/>
  <c r="H953" i="2"/>
  <c r="I953" i="2" s="1"/>
  <c r="H954" i="2"/>
  <c r="I954" i="2" s="1"/>
  <c r="H955" i="2"/>
  <c r="H956" i="2"/>
  <c r="I956" i="2" s="1"/>
  <c r="H957" i="2"/>
  <c r="I957" i="2" s="1"/>
  <c r="H958" i="2"/>
  <c r="I958" i="2" s="1"/>
  <c r="H959" i="2"/>
  <c r="H960" i="2"/>
  <c r="I960" i="2" s="1"/>
  <c r="H961" i="2"/>
  <c r="I961" i="2" s="1"/>
  <c r="H962" i="2"/>
  <c r="I962" i="2" s="1"/>
  <c r="H963" i="2"/>
  <c r="H964" i="2"/>
  <c r="I964" i="2" s="1"/>
  <c r="H965" i="2"/>
  <c r="I965" i="2" s="1"/>
  <c r="H966" i="2"/>
  <c r="I966" i="2" s="1"/>
  <c r="H967" i="2"/>
  <c r="H968" i="2"/>
  <c r="I968" i="2" s="1"/>
  <c r="H969" i="2"/>
  <c r="I969" i="2" s="1"/>
  <c r="H970" i="2"/>
  <c r="I970" i="2" s="1"/>
  <c r="H971" i="2"/>
  <c r="H972" i="2"/>
  <c r="I972" i="2" s="1"/>
  <c r="H973" i="2"/>
  <c r="I973" i="2" s="1"/>
  <c r="H974" i="2"/>
  <c r="I974" i="2" s="1"/>
  <c r="H975" i="2"/>
  <c r="H976" i="2"/>
  <c r="I976" i="2" s="1"/>
  <c r="H977" i="2"/>
  <c r="I977" i="2" s="1"/>
  <c r="H978" i="2"/>
  <c r="I978" i="2" s="1"/>
  <c r="H979" i="2"/>
  <c r="H980" i="2"/>
  <c r="I980" i="2" s="1"/>
  <c r="H981" i="2"/>
  <c r="I981" i="2" s="1"/>
  <c r="H982" i="2"/>
  <c r="I982" i="2" s="1"/>
  <c r="H983" i="2"/>
  <c r="H984" i="2"/>
  <c r="I984" i="2" s="1"/>
  <c r="H985" i="2"/>
  <c r="I985" i="2" s="1"/>
  <c r="H986" i="2"/>
  <c r="I986" i="2" s="1"/>
  <c r="H987" i="2"/>
  <c r="H988" i="2"/>
  <c r="H989" i="2"/>
  <c r="I989" i="2" s="1"/>
  <c r="H990" i="2"/>
  <c r="I990" i="2" s="1"/>
  <c r="H991" i="2"/>
  <c r="H992" i="2"/>
  <c r="I992" i="2" s="1"/>
  <c r="H993" i="2"/>
  <c r="I993" i="2" s="1"/>
  <c r="H994" i="2"/>
  <c r="I994" i="2" s="1"/>
  <c r="H995" i="2"/>
  <c r="H996" i="2"/>
  <c r="I996" i="2" s="1"/>
  <c r="H997" i="2"/>
  <c r="I997" i="2" s="1"/>
  <c r="H998" i="2"/>
  <c r="I998" i="2" s="1"/>
  <c r="H999" i="2"/>
  <c r="H1000" i="2"/>
  <c r="I1000" i="2" s="1"/>
  <c r="H1001" i="2"/>
  <c r="I1001" i="2" s="1"/>
  <c r="H1002" i="2"/>
  <c r="I1002" i="2" s="1"/>
  <c r="H1003" i="2"/>
  <c r="H1004" i="2"/>
  <c r="H1005" i="2"/>
  <c r="I1005" i="2" s="1"/>
  <c r="H1006" i="2"/>
  <c r="I1006" i="2" s="1"/>
  <c r="H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2" i="2"/>
  <c r="D3" i="2"/>
  <c r="G3" i="2" s="1"/>
  <c r="D4" i="2"/>
  <c r="G4" i="2" s="1"/>
  <c r="D5" i="2"/>
  <c r="G5" i="2" s="1"/>
  <c r="D6" i="2"/>
  <c r="G6" i="2" s="1"/>
  <c r="D7" i="2"/>
  <c r="G7" i="2" s="1"/>
  <c r="D8" i="2"/>
  <c r="G8" i="2" s="1"/>
  <c r="D9" i="2"/>
  <c r="G9" i="2" s="1"/>
  <c r="D10" i="2"/>
  <c r="G10" i="2" s="1"/>
  <c r="D11" i="2"/>
  <c r="G11" i="2" s="1"/>
  <c r="D12" i="2"/>
  <c r="G12" i="2" s="1"/>
  <c r="D13" i="2"/>
  <c r="G13" i="2" s="1"/>
  <c r="D14" i="2"/>
  <c r="G14" i="2" s="1"/>
  <c r="D15" i="2"/>
  <c r="G15" i="2" s="1"/>
  <c r="D16" i="2"/>
  <c r="G16" i="2" s="1"/>
  <c r="D17" i="2"/>
  <c r="G17" i="2" s="1"/>
  <c r="D18" i="2"/>
  <c r="G18" i="2" s="1"/>
  <c r="D19" i="2"/>
  <c r="G19" i="2" s="1"/>
  <c r="D20" i="2"/>
  <c r="G20" i="2" s="1"/>
  <c r="D21" i="2"/>
  <c r="G21" i="2" s="1"/>
  <c r="D22" i="2"/>
  <c r="G22" i="2" s="1"/>
  <c r="D23" i="2"/>
  <c r="G23" i="2" s="1"/>
  <c r="D24" i="2"/>
  <c r="G24" i="2" s="1"/>
  <c r="D25" i="2"/>
  <c r="G25" i="2" s="1"/>
  <c r="D26" i="2"/>
  <c r="G26" i="2" s="1"/>
  <c r="D27" i="2"/>
  <c r="G27" i="2" s="1"/>
  <c r="D28" i="2"/>
  <c r="G28" i="2" s="1"/>
  <c r="D29" i="2"/>
  <c r="G29" i="2" s="1"/>
  <c r="D30" i="2"/>
  <c r="G30" i="2" s="1"/>
  <c r="D31" i="2"/>
  <c r="G31" i="2" s="1"/>
  <c r="D32" i="2"/>
  <c r="G32" i="2" s="1"/>
  <c r="D33" i="2"/>
  <c r="G33" i="2" s="1"/>
  <c r="D34" i="2"/>
  <c r="G34" i="2" s="1"/>
  <c r="D35" i="2"/>
  <c r="G35" i="2" s="1"/>
  <c r="D36" i="2"/>
  <c r="G36" i="2" s="1"/>
  <c r="D37" i="2"/>
  <c r="G37" i="2" s="1"/>
  <c r="D38" i="2"/>
  <c r="G38" i="2" s="1"/>
  <c r="D39" i="2"/>
  <c r="G39" i="2" s="1"/>
  <c r="D40" i="2"/>
  <c r="G40" i="2" s="1"/>
  <c r="D41" i="2"/>
  <c r="G41" i="2" s="1"/>
  <c r="D42" i="2"/>
  <c r="G42" i="2" s="1"/>
  <c r="D43" i="2"/>
  <c r="G43" i="2" s="1"/>
  <c r="D44" i="2"/>
  <c r="G44" i="2" s="1"/>
  <c r="D45" i="2"/>
  <c r="G45" i="2" s="1"/>
  <c r="D46" i="2"/>
  <c r="G46" i="2" s="1"/>
  <c r="D47" i="2"/>
  <c r="G47" i="2" s="1"/>
  <c r="D48" i="2"/>
  <c r="G48" i="2" s="1"/>
  <c r="D49" i="2"/>
  <c r="G49" i="2" s="1"/>
  <c r="D50" i="2"/>
  <c r="G50" i="2" s="1"/>
  <c r="D51" i="2"/>
  <c r="G51" i="2" s="1"/>
  <c r="D52" i="2"/>
  <c r="G52" i="2" s="1"/>
  <c r="D53" i="2"/>
  <c r="G53" i="2" s="1"/>
  <c r="D54" i="2"/>
  <c r="G54" i="2" s="1"/>
  <c r="D55" i="2"/>
  <c r="G55" i="2" s="1"/>
  <c r="D56" i="2"/>
  <c r="G56" i="2" s="1"/>
  <c r="D57" i="2"/>
  <c r="G57" i="2" s="1"/>
  <c r="D58" i="2"/>
  <c r="G58" i="2" s="1"/>
  <c r="D59" i="2"/>
  <c r="G59" i="2" s="1"/>
  <c r="D60" i="2"/>
  <c r="G60" i="2" s="1"/>
  <c r="D61" i="2"/>
  <c r="G61" i="2" s="1"/>
  <c r="D62" i="2"/>
  <c r="G62" i="2" s="1"/>
  <c r="D63" i="2"/>
  <c r="G63" i="2" s="1"/>
  <c r="D64" i="2"/>
  <c r="G64" i="2" s="1"/>
  <c r="D65" i="2"/>
  <c r="G65" i="2" s="1"/>
  <c r="D66" i="2"/>
  <c r="G66" i="2" s="1"/>
  <c r="D67" i="2"/>
  <c r="G67" i="2" s="1"/>
  <c r="D68" i="2"/>
  <c r="G68" i="2" s="1"/>
  <c r="D69" i="2"/>
  <c r="G69" i="2" s="1"/>
  <c r="D70" i="2"/>
  <c r="G70" i="2" s="1"/>
  <c r="D71" i="2"/>
  <c r="G71" i="2" s="1"/>
  <c r="D72" i="2"/>
  <c r="G72" i="2" s="1"/>
  <c r="D73" i="2"/>
  <c r="G73" i="2" s="1"/>
  <c r="D74" i="2"/>
  <c r="G74" i="2" s="1"/>
  <c r="D75" i="2"/>
  <c r="G75" i="2" s="1"/>
  <c r="D76" i="2"/>
  <c r="G76" i="2" s="1"/>
  <c r="D77" i="2"/>
  <c r="G77" i="2" s="1"/>
  <c r="D78" i="2"/>
  <c r="G78" i="2" s="1"/>
  <c r="D79" i="2"/>
  <c r="G79" i="2" s="1"/>
  <c r="D80" i="2"/>
  <c r="G80" i="2" s="1"/>
  <c r="D81" i="2"/>
  <c r="G81" i="2" s="1"/>
  <c r="D82" i="2"/>
  <c r="G82" i="2" s="1"/>
  <c r="D83" i="2"/>
  <c r="G83" i="2" s="1"/>
  <c r="D84" i="2"/>
  <c r="G84" i="2" s="1"/>
  <c r="D85" i="2"/>
  <c r="G85" i="2" s="1"/>
  <c r="D86" i="2"/>
  <c r="G86" i="2" s="1"/>
  <c r="D87" i="2"/>
  <c r="G87" i="2" s="1"/>
  <c r="D88" i="2"/>
  <c r="G88" i="2" s="1"/>
  <c r="D89" i="2"/>
  <c r="G89" i="2" s="1"/>
  <c r="D90" i="2"/>
  <c r="G90" i="2" s="1"/>
  <c r="D91" i="2"/>
  <c r="G91" i="2" s="1"/>
  <c r="D92" i="2"/>
  <c r="G92" i="2" s="1"/>
  <c r="D93" i="2"/>
  <c r="G93" i="2" s="1"/>
  <c r="D94" i="2"/>
  <c r="G94" i="2" s="1"/>
  <c r="D95" i="2"/>
  <c r="G95" i="2" s="1"/>
  <c r="D96" i="2"/>
  <c r="G96" i="2" s="1"/>
  <c r="D97" i="2"/>
  <c r="G97" i="2" s="1"/>
  <c r="D98" i="2"/>
  <c r="G98" i="2" s="1"/>
  <c r="D99" i="2"/>
  <c r="G99" i="2" s="1"/>
  <c r="D100" i="2"/>
  <c r="G100" i="2" s="1"/>
  <c r="D101" i="2"/>
  <c r="G101" i="2" s="1"/>
  <c r="D102" i="2"/>
  <c r="G102" i="2" s="1"/>
  <c r="D103" i="2"/>
  <c r="G103" i="2" s="1"/>
  <c r="D104" i="2"/>
  <c r="G104" i="2" s="1"/>
  <c r="D105" i="2"/>
  <c r="G105" i="2" s="1"/>
  <c r="D106" i="2"/>
  <c r="G106" i="2" s="1"/>
  <c r="D107" i="2"/>
  <c r="G107" i="2" s="1"/>
  <c r="D108" i="2"/>
  <c r="G108" i="2" s="1"/>
  <c r="D109" i="2"/>
  <c r="G109" i="2" s="1"/>
  <c r="D110" i="2"/>
  <c r="G110" i="2" s="1"/>
  <c r="D111" i="2"/>
  <c r="G111" i="2" s="1"/>
  <c r="D112" i="2"/>
  <c r="G112" i="2" s="1"/>
  <c r="D113" i="2"/>
  <c r="G113" i="2" s="1"/>
  <c r="D114" i="2"/>
  <c r="G114" i="2" s="1"/>
  <c r="D115" i="2"/>
  <c r="G115" i="2" s="1"/>
  <c r="D116" i="2"/>
  <c r="G116" i="2" s="1"/>
  <c r="D117" i="2"/>
  <c r="G117" i="2" s="1"/>
  <c r="D118" i="2"/>
  <c r="G118" i="2" s="1"/>
  <c r="D119" i="2"/>
  <c r="G119" i="2" s="1"/>
  <c r="D120" i="2"/>
  <c r="G120" i="2" s="1"/>
  <c r="D121" i="2"/>
  <c r="G121" i="2" s="1"/>
  <c r="D122" i="2"/>
  <c r="G122" i="2" s="1"/>
  <c r="D123" i="2"/>
  <c r="G123" i="2" s="1"/>
  <c r="D124" i="2"/>
  <c r="G124" i="2" s="1"/>
  <c r="D125" i="2"/>
  <c r="G125" i="2" s="1"/>
  <c r="D126" i="2"/>
  <c r="G126" i="2" s="1"/>
  <c r="D127" i="2"/>
  <c r="G127" i="2" s="1"/>
  <c r="D128" i="2"/>
  <c r="G128" i="2" s="1"/>
  <c r="D129" i="2"/>
  <c r="G129" i="2" s="1"/>
  <c r="D130" i="2"/>
  <c r="G130" i="2" s="1"/>
  <c r="D131" i="2"/>
  <c r="G131" i="2" s="1"/>
  <c r="D132" i="2"/>
  <c r="G132" i="2" s="1"/>
  <c r="D133" i="2"/>
  <c r="G133" i="2" s="1"/>
  <c r="D134" i="2"/>
  <c r="G134" i="2" s="1"/>
  <c r="D135" i="2"/>
  <c r="G135" i="2" s="1"/>
  <c r="D136" i="2"/>
  <c r="G136" i="2" s="1"/>
  <c r="D137" i="2"/>
  <c r="G137" i="2" s="1"/>
  <c r="D138" i="2"/>
  <c r="G138" i="2" s="1"/>
  <c r="D139" i="2"/>
  <c r="G139" i="2" s="1"/>
  <c r="D140" i="2"/>
  <c r="G140" i="2" s="1"/>
  <c r="D141" i="2"/>
  <c r="G141" i="2" s="1"/>
  <c r="D142" i="2"/>
  <c r="G142" i="2" s="1"/>
  <c r="D143" i="2"/>
  <c r="G143" i="2" s="1"/>
  <c r="D144" i="2"/>
  <c r="G144" i="2" s="1"/>
  <c r="D145" i="2"/>
  <c r="G145" i="2" s="1"/>
  <c r="D146" i="2"/>
  <c r="G146" i="2" s="1"/>
  <c r="D147" i="2"/>
  <c r="G147" i="2" s="1"/>
  <c r="D148" i="2"/>
  <c r="G148" i="2" s="1"/>
  <c r="D149" i="2"/>
  <c r="G149" i="2" s="1"/>
  <c r="D150" i="2"/>
  <c r="G150" i="2" s="1"/>
  <c r="D151" i="2"/>
  <c r="G151" i="2" s="1"/>
  <c r="D152" i="2"/>
  <c r="G152" i="2" s="1"/>
  <c r="D153" i="2"/>
  <c r="G153" i="2" s="1"/>
  <c r="D154" i="2"/>
  <c r="G154" i="2" s="1"/>
  <c r="D155" i="2"/>
  <c r="G155" i="2" s="1"/>
  <c r="D156" i="2"/>
  <c r="G156" i="2" s="1"/>
  <c r="D157" i="2"/>
  <c r="G157" i="2" s="1"/>
  <c r="D158" i="2"/>
  <c r="G158" i="2" s="1"/>
  <c r="D159" i="2"/>
  <c r="G159" i="2" s="1"/>
  <c r="D160" i="2"/>
  <c r="G160" i="2" s="1"/>
  <c r="D161" i="2"/>
  <c r="G161" i="2" s="1"/>
  <c r="D162" i="2"/>
  <c r="G162" i="2" s="1"/>
  <c r="D163" i="2"/>
  <c r="G163" i="2" s="1"/>
  <c r="D164" i="2"/>
  <c r="G164" i="2" s="1"/>
  <c r="D165" i="2"/>
  <c r="G165" i="2" s="1"/>
  <c r="D166" i="2"/>
  <c r="G166" i="2" s="1"/>
  <c r="D167" i="2"/>
  <c r="G167" i="2" s="1"/>
  <c r="D168" i="2"/>
  <c r="G168" i="2" s="1"/>
  <c r="D169" i="2"/>
  <c r="G169" i="2" s="1"/>
  <c r="D170" i="2"/>
  <c r="G170" i="2" s="1"/>
  <c r="D171" i="2"/>
  <c r="G171" i="2" s="1"/>
  <c r="D172" i="2"/>
  <c r="G172" i="2" s="1"/>
  <c r="D173" i="2"/>
  <c r="G173" i="2" s="1"/>
  <c r="D174" i="2"/>
  <c r="G174" i="2" s="1"/>
  <c r="D175" i="2"/>
  <c r="G175" i="2" s="1"/>
  <c r="D176" i="2"/>
  <c r="G176" i="2" s="1"/>
  <c r="D177" i="2"/>
  <c r="G177" i="2" s="1"/>
  <c r="D178" i="2"/>
  <c r="G178" i="2" s="1"/>
  <c r="D179" i="2"/>
  <c r="G179" i="2" s="1"/>
  <c r="D180" i="2"/>
  <c r="G180" i="2" s="1"/>
  <c r="D181" i="2"/>
  <c r="G181" i="2" s="1"/>
  <c r="D182" i="2"/>
  <c r="G182" i="2" s="1"/>
  <c r="D183" i="2"/>
  <c r="G183" i="2" s="1"/>
  <c r="D184" i="2"/>
  <c r="G184" i="2" s="1"/>
  <c r="D185" i="2"/>
  <c r="G185" i="2" s="1"/>
  <c r="D186" i="2"/>
  <c r="G186" i="2" s="1"/>
  <c r="D187" i="2"/>
  <c r="G187" i="2" s="1"/>
  <c r="D188" i="2"/>
  <c r="G188" i="2" s="1"/>
  <c r="D189" i="2"/>
  <c r="G189" i="2" s="1"/>
  <c r="D190" i="2"/>
  <c r="G190" i="2" s="1"/>
  <c r="D191" i="2"/>
  <c r="G191" i="2" s="1"/>
  <c r="D192" i="2"/>
  <c r="G192" i="2" s="1"/>
  <c r="D193" i="2"/>
  <c r="G193" i="2" s="1"/>
  <c r="D194" i="2"/>
  <c r="G194" i="2" s="1"/>
  <c r="D195" i="2"/>
  <c r="G195" i="2" s="1"/>
  <c r="D196" i="2"/>
  <c r="G196" i="2" s="1"/>
  <c r="D197" i="2"/>
  <c r="G197" i="2" s="1"/>
  <c r="D198" i="2"/>
  <c r="G198" i="2" s="1"/>
  <c r="D199" i="2"/>
  <c r="G199" i="2" s="1"/>
  <c r="D200" i="2"/>
  <c r="G200" i="2" s="1"/>
  <c r="D201" i="2"/>
  <c r="G201" i="2" s="1"/>
  <c r="D202" i="2"/>
  <c r="G202" i="2" s="1"/>
  <c r="D203" i="2"/>
  <c r="G203" i="2" s="1"/>
  <c r="D204" i="2"/>
  <c r="G204" i="2" s="1"/>
  <c r="D205" i="2"/>
  <c r="G205" i="2" s="1"/>
  <c r="D206" i="2"/>
  <c r="G206" i="2" s="1"/>
  <c r="D207" i="2"/>
  <c r="G207" i="2" s="1"/>
  <c r="D208" i="2"/>
  <c r="G208" i="2" s="1"/>
  <c r="D209" i="2"/>
  <c r="G209" i="2" s="1"/>
  <c r="D210" i="2"/>
  <c r="G210" i="2" s="1"/>
  <c r="D211" i="2"/>
  <c r="G211" i="2" s="1"/>
  <c r="D212" i="2"/>
  <c r="G212" i="2" s="1"/>
  <c r="D213" i="2"/>
  <c r="G213" i="2" s="1"/>
  <c r="D214" i="2"/>
  <c r="G214" i="2" s="1"/>
  <c r="D215" i="2"/>
  <c r="G215" i="2" s="1"/>
  <c r="D216" i="2"/>
  <c r="G216" i="2" s="1"/>
  <c r="D217" i="2"/>
  <c r="G217" i="2" s="1"/>
  <c r="D218" i="2"/>
  <c r="G218" i="2" s="1"/>
  <c r="D219" i="2"/>
  <c r="G219" i="2" s="1"/>
  <c r="D220" i="2"/>
  <c r="G220" i="2" s="1"/>
  <c r="D221" i="2"/>
  <c r="G221" i="2" s="1"/>
  <c r="D222" i="2"/>
  <c r="G222" i="2" s="1"/>
  <c r="D223" i="2"/>
  <c r="G223" i="2" s="1"/>
  <c r="D224" i="2"/>
  <c r="G224" i="2" s="1"/>
  <c r="D225" i="2"/>
  <c r="G225" i="2" s="1"/>
  <c r="D226" i="2"/>
  <c r="G226" i="2" s="1"/>
  <c r="D227" i="2"/>
  <c r="G227" i="2" s="1"/>
  <c r="D228" i="2"/>
  <c r="G228" i="2" s="1"/>
  <c r="D229" i="2"/>
  <c r="G229" i="2" s="1"/>
  <c r="D230" i="2"/>
  <c r="G230" i="2" s="1"/>
  <c r="D231" i="2"/>
  <c r="G231" i="2" s="1"/>
  <c r="D232" i="2"/>
  <c r="G232" i="2" s="1"/>
  <c r="D233" i="2"/>
  <c r="G233" i="2" s="1"/>
  <c r="D234" i="2"/>
  <c r="G234" i="2" s="1"/>
  <c r="D235" i="2"/>
  <c r="G235" i="2" s="1"/>
  <c r="D236" i="2"/>
  <c r="G236" i="2" s="1"/>
  <c r="D237" i="2"/>
  <c r="G237" i="2" s="1"/>
  <c r="D238" i="2"/>
  <c r="G238" i="2" s="1"/>
  <c r="D239" i="2"/>
  <c r="G239" i="2" s="1"/>
  <c r="D240" i="2"/>
  <c r="G240" i="2" s="1"/>
  <c r="D241" i="2"/>
  <c r="G241" i="2" s="1"/>
  <c r="D242" i="2"/>
  <c r="G242" i="2" s="1"/>
  <c r="D243" i="2"/>
  <c r="G243" i="2" s="1"/>
  <c r="D244" i="2"/>
  <c r="G244" i="2" s="1"/>
  <c r="D245" i="2"/>
  <c r="G245" i="2" s="1"/>
  <c r="D246" i="2"/>
  <c r="G246" i="2" s="1"/>
  <c r="D247" i="2"/>
  <c r="G247" i="2" s="1"/>
  <c r="D248" i="2"/>
  <c r="G248" i="2" s="1"/>
  <c r="D249" i="2"/>
  <c r="G249" i="2" s="1"/>
  <c r="D250" i="2"/>
  <c r="G250" i="2" s="1"/>
  <c r="D251" i="2"/>
  <c r="G251" i="2" s="1"/>
  <c r="D252" i="2"/>
  <c r="G252" i="2" s="1"/>
  <c r="D253" i="2"/>
  <c r="G253" i="2" s="1"/>
  <c r="D254" i="2"/>
  <c r="G254" i="2" s="1"/>
  <c r="D255" i="2"/>
  <c r="G255" i="2" s="1"/>
  <c r="D256" i="2"/>
  <c r="G256" i="2" s="1"/>
  <c r="D257" i="2"/>
  <c r="G257" i="2" s="1"/>
  <c r="D258" i="2"/>
  <c r="G258" i="2" s="1"/>
  <c r="D259" i="2"/>
  <c r="G259" i="2" s="1"/>
  <c r="D260" i="2"/>
  <c r="G260" i="2" s="1"/>
  <c r="D261" i="2"/>
  <c r="G261" i="2" s="1"/>
  <c r="D262" i="2"/>
  <c r="G262" i="2" s="1"/>
  <c r="D263" i="2"/>
  <c r="G263" i="2" s="1"/>
  <c r="D264" i="2"/>
  <c r="G264" i="2" s="1"/>
  <c r="D265" i="2"/>
  <c r="G265" i="2" s="1"/>
  <c r="D266" i="2"/>
  <c r="G266" i="2" s="1"/>
  <c r="D267" i="2"/>
  <c r="G267" i="2" s="1"/>
  <c r="D268" i="2"/>
  <c r="G268" i="2" s="1"/>
  <c r="D269" i="2"/>
  <c r="G269" i="2" s="1"/>
  <c r="D270" i="2"/>
  <c r="G270" i="2" s="1"/>
  <c r="D271" i="2"/>
  <c r="G271" i="2" s="1"/>
  <c r="D272" i="2"/>
  <c r="G272" i="2" s="1"/>
  <c r="D273" i="2"/>
  <c r="G273" i="2" s="1"/>
  <c r="D274" i="2"/>
  <c r="G274" i="2" s="1"/>
  <c r="D275" i="2"/>
  <c r="G275" i="2" s="1"/>
  <c r="D276" i="2"/>
  <c r="G276" i="2" s="1"/>
  <c r="D277" i="2"/>
  <c r="G277" i="2" s="1"/>
  <c r="D278" i="2"/>
  <c r="G278" i="2" s="1"/>
  <c r="D279" i="2"/>
  <c r="G279" i="2" s="1"/>
  <c r="D280" i="2"/>
  <c r="G280" i="2" s="1"/>
  <c r="D281" i="2"/>
  <c r="G281" i="2" s="1"/>
  <c r="D282" i="2"/>
  <c r="G282" i="2" s="1"/>
  <c r="D283" i="2"/>
  <c r="G283" i="2" s="1"/>
  <c r="D284" i="2"/>
  <c r="G284" i="2" s="1"/>
  <c r="D285" i="2"/>
  <c r="G285" i="2" s="1"/>
  <c r="D286" i="2"/>
  <c r="G286" i="2" s="1"/>
  <c r="D287" i="2"/>
  <c r="G287" i="2" s="1"/>
  <c r="D288" i="2"/>
  <c r="G288" i="2" s="1"/>
  <c r="D289" i="2"/>
  <c r="G289" i="2" s="1"/>
  <c r="D290" i="2"/>
  <c r="G290" i="2" s="1"/>
  <c r="D291" i="2"/>
  <c r="G291" i="2" s="1"/>
  <c r="D292" i="2"/>
  <c r="G292" i="2" s="1"/>
  <c r="D293" i="2"/>
  <c r="G293" i="2" s="1"/>
  <c r="D294" i="2"/>
  <c r="G294" i="2" s="1"/>
  <c r="D295" i="2"/>
  <c r="G295" i="2" s="1"/>
  <c r="D296" i="2"/>
  <c r="G296" i="2" s="1"/>
  <c r="D297" i="2"/>
  <c r="G297" i="2" s="1"/>
  <c r="D298" i="2"/>
  <c r="G298" i="2" s="1"/>
  <c r="D299" i="2"/>
  <c r="G299" i="2" s="1"/>
  <c r="D300" i="2"/>
  <c r="G300" i="2" s="1"/>
  <c r="D301" i="2"/>
  <c r="G301" i="2" s="1"/>
  <c r="D302" i="2"/>
  <c r="G302" i="2" s="1"/>
  <c r="D303" i="2"/>
  <c r="G303" i="2" s="1"/>
  <c r="D304" i="2"/>
  <c r="G304" i="2" s="1"/>
  <c r="D305" i="2"/>
  <c r="G305" i="2" s="1"/>
  <c r="D306" i="2"/>
  <c r="G306" i="2" s="1"/>
  <c r="D307" i="2"/>
  <c r="G307" i="2" s="1"/>
  <c r="D308" i="2"/>
  <c r="G308" i="2" s="1"/>
  <c r="D309" i="2"/>
  <c r="G309" i="2" s="1"/>
  <c r="D310" i="2"/>
  <c r="G310" i="2" s="1"/>
  <c r="D311" i="2"/>
  <c r="G311" i="2" s="1"/>
  <c r="D312" i="2"/>
  <c r="G312" i="2" s="1"/>
  <c r="D313" i="2"/>
  <c r="G313" i="2" s="1"/>
  <c r="D314" i="2"/>
  <c r="G314" i="2" s="1"/>
  <c r="D315" i="2"/>
  <c r="G315" i="2" s="1"/>
  <c r="D316" i="2"/>
  <c r="G316" i="2" s="1"/>
  <c r="D317" i="2"/>
  <c r="G317" i="2" s="1"/>
  <c r="D318" i="2"/>
  <c r="G318" i="2" s="1"/>
  <c r="D319" i="2"/>
  <c r="G319" i="2" s="1"/>
  <c r="D320" i="2"/>
  <c r="G320" i="2" s="1"/>
  <c r="D321" i="2"/>
  <c r="G321" i="2" s="1"/>
  <c r="D322" i="2"/>
  <c r="G322" i="2" s="1"/>
  <c r="D323" i="2"/>
  <c r="G323" i="2" s="1"/>
  <c r="D324" i="2"/>
  <c r="G324" i="2" s="1"/>
  <c r="D325" i="2"/>
  <c r="G325" i="2" s="1"/>
  <c r="D326" i="2"/>
  <c r="G326" i="2" s="1"/>
  <c r="D327" i="2"/>
  <c r="G327" i="2" s="1"/>
  <c r="D328" i="2"/>
  <c r="G328" i="2" s="1"/>
  <c r="D329" i="2"/>
  <c r="G329" i="2" s="1"/>
  <c r="D330" i="2"/>
  <c r="G330" i="2" s="1"/>
  <c r="D331" i="2"/>
  <c r="G331" i="2" s="1"/>
  <c r="D332" i="2"/>
  <c r="G332" i="2" s="1"/>
  <c r="D333" i="2"/>
  <c r="G333" i="2" s="1"/>
  <c r="D334" i="2"/>
  <c r="G334" i="2" s="1"/>
  <c r="D335" i="2"/>
  <c r="G335" i="2" s="1"/>
  <c r="D336" i="2"/>
  <c r="G336" i="2" s="1"/>
  <c r="D337" i="2"/>
  <c r="G337" i="2" s="1"/>
  <c r="D338" i="2"/>
  <c r="G338" i="2" s="1"/>
  <c r="D339" i="2"/>
  <c r="G339" i="2" s="1"/>
  <c r="D340" i="2"/>
  <c r="G340" i="2" s="1"/>
  <c r="D341" i="2"/>
  <c r="G341" i="2" s="1"/>
  <c r="D342" i="2"/>
  <c r="G342" i="2" s="1"/>
  <c r="D343" i="2"/>
  <c r="G343" i="2" s="1"/>
  <c r="D344" i="2"/>
  <c r="G344" i="2" s="1"/>
  <c r="D345" i="2"/>
  <c r="G345" i="2" s="1"/>
  <c r="D346" i="2"/>
  <c r="G346" i="2" s="1"/>
  <c r="D347" i="2"/>
  <c r="G347" i="2" s="1"/>
  <c r="D348" i="2"/>
  <c r="G348" i="2" s="1"/>
  <c r="D349" i="2"/>
  <c r="G349" i="2" s="1"/>
  <c r="D350" i="2"/>
  <c r="G350" i="2" s="1"/>
  <c r="D351" i="2"/>
  <c r="G351" i="2" s="1"/>
  <c r="D352" i="2"/>
  <c r="G352" i="2" s="1"/>
  <c r="D353" i="2"/>
  <c r="G353" i="2" s="1"/>
  <c r="D354" i="2"/>
  <c r="G354" i="2" s="1"/>
  <c r="D355" i="2"/>
  <c r="G355" i="2" s="1"/>
  <c r="D356" i="2"/>
  <c r="G356" i="2" s="1"/>
  <c r="D357" i="2"/>
  <c r="G357" i="2" s="1"/>
  <c r="D358" i="2"/>
  <c r="G358" i="2" s="1"/>
  <c r="D359" i="2"/>
  <c r="G359" i="2" s="1"/>
  <c r="D360" i="2"/>
  <c r="G360" i="2" s="1"/>
  <c r="D361" i="2"/>
  <c r="G361" i="2" s="1"/>
  <c r="D362" i="2"/>
  <c r="G362" i="2" s="1"/>
  <c r="D363" i="2"/>
  <c r="G363" i="2" s="1"/>
  <c r="D364" i="2"/>
  <c r="G364" i="2" s="1"/>
  <c r="D365" i="2"/>
  <c r="G365" i="2" s="1"/>
  <c r="D366" i="2"/>
  <c r="G366" i="2" s="1"/>
  <c r="D367" i="2"/>
  <c r="G367" i="2" s="1"/>
  <c r="D368" i="2"/>
  <c r="G368" i="2" s="1"/>
  <c r="D369" i="2"/>
  <c r="G369" i="2" s="1"/>
  <c r="D370" i="2"/>
  <c r="G370" i="2" s="1"/>
  <c r="D371" i="2"/>
  <c r="G371" i="2" s="1"/>
  <c r="D372" i="2"/>
  <c r="G372" i="2" s="1"/>
  <c r="D373" i="2"/>
  <c r="G373" i="2" s="1"/>
  <c r="D374" i="2"/>
  <c r="G374" i="2" s="1"/>
  <c r="D375" i="2"/>
  <c r="G375" i="2" s="1"/>
  <c r="D376" i="2"/>
  <c r="G376" i="2" s="1"/>
  <c r="D377" i="2"/>
  <c r="G377" i="2" s="1"/>
  <c r="D378" i="2"/>
  <c r="G378" i="2" s="1"/>
  <c r="D379" i="2"/>
  <c r="G379" i="2" s="1"/>
  <c r="D380" i="2"/>
  <c r="G380" i="2" s="1"/>
  <c r="D381" i="2"/>
  <c r="G381" i="2" s="1"/>
  <c r="D382" i="2"/>
  <c r="G382" i="2" s="1"/>
  <c r="D383" i="2"/>
  <c r="G383" i="2" s="1"/>
  <c r="D384" i="2"/>
  <c r="G384" i="2" s="1"/>
  <c r="D385" i="2"/>
  <c r="G385" i="2" s="1"/>
  <c r="D386" i="2"/>
  <c r="G386" i="2" s="1"/>
  <c r="D387" i="2"/>
  <c r="G387" i="2" s="1"/>
  <c r="D388" i="2"/>
  <c r="G388" i="2" s="1"/>
  <c r="D389" i="2"/>
  <c r="G389" i="2" s="1"/>
  <c r="D390" i="2"/>
  <c r="G390" i="2" s="1"/>
  <c r="D391" i="2"/>
  <c r="G391" i="2" s="1"/>
  <c r="D392" i="2"/>
  <c r="G392" i="2" s="1"/>
  <c r="D393" i="2"/>
  <c r="G393" i="2" s="1"/>
  <c r="D394" i="2"/>
  <c r="G394" i="2" s="1"/>
  <c r="D395" i="2"/>
  <c r="G395" i="2" s="1"/>
  <c r="D396" i="2"/>
  <c r="G396" i="2" s="1"/>
  <c r="D397" i="2"/>
  <c r="G397" i="2" s="1"/>
  <c r="D398" i="2"/>
  <c r="G398" i="2" s="1"/>
  <c r="D399" i="2"/>
  <c r="G399" i="2" s="1"/>
  <c r="D400" i="2"/>
  <c r="G400" i="2" s="1"/>
  <c r="D401" i="2"/>
  <c r="G401" i="2" s="1"/>
  <c r="D402" i="2"/>
  <c r="G402" i="2" s="1"/>
  <c r="D403" i="2"/>
  <c r="G403" i="2" s="1"/>
  <c r="D404" i="2"/>
  <c r="G404" i="2" s="1"/>
  <c r="D405" i="2"/>
  <c r="G405" i="2" s="1"/>
  <c r="D406" i="2"/>
  <c r="G406" i="2" s="1"/>
  <c r="D407" i="2"/>
  <c r="G407" i="2" s="1"/>
  <c r="D408" i="2"/>
  <c r="G408" i="2" s="1"/>
  <c r="D409" i="2"/>
  <c r="G409" i="2" s="1"/>
  <c r="D410" i="2"/>
  <c r="G410" i="2" s="1"/>
  <c r="D411" i="2"/>
  <c r="G411" i="2" s="1"/>
  <c r="D412" i="2"/>
  <c r="G412" i="2" s="1"/>
  <c r="D413" i="2"/>
  <c r="G413" i="2" s="1"/>
  <c r="D414" i="2"/>
  <c r="G414" i="2" s="1"/>
  <c r="D415" i="2"/>
  <c r="G415" i="2" s="1"/>
  <c r="D416" i="2"/>
  <c r="G416" i="2" s="1"/>
  <c r="D417" i="2"/>
  <c r="G417" i="2" s="1"/>
  <c r="D418" i="2"/>
  <c r="G418" i="2" s="1"/>
  <c r="D419" i="2"/>
  <c r="G419" i="2" s="1"/>
  <c r="D420" i="2"/>
  <c r="G420" i="2" s="1"/>
  <c r="D421" i="2"/>
  <c r="G421" i="2" s="1"/>
  <c r="D422" i="2"/>
  <c r="G422" i="2" s="1"/>
  <c r="D423" i="2"/>
  <c r="G423" i="2" s="1"/>
  <c r="D424" i="2"/>
  <c r="G424" i="2" s="1"/>
  <c r="D425" i="2"/>
  <c r="G425" i="2" s="1"/>
  <c r="D426" i="2"/>
  <c r="G426" i="2" s="1"/>
  <c r="D427" i="2"/>
  <c r="G427" i="2" s="1"/>
  <c r="D428" i="2"/>
  <c r="G428" i="2" s="1"/>
  <c r="D429" i="2"/>
  <c r="G429" i="2" s="1"/>
  <c r="D430" i="2"/>
  <c r="G430" i="2" s="1"/>
  <c r="D431" i="2"/>
  <c r="G431" i="2" s="1"/>
  <c r="D432" i="2"/>
  <c r="G432" i="2" s="1"/>
  <c r="D433" i="2"/>
  <c r="G433" i="2" s="1"/>
  <c r="D434" i="2"/>
  <c r="G434" i="2" s="1"/>
  <c r="D435" i="2"/>
  <c r="G435" i="2" s="1"/>
  <c r="D436" i="2"/>
  <c r="G436" i="2" s="1"/>
  <c r="D437" i="2"/>
  <c r="G437" i="2" s="1"/>
  <c r="D438" i="2"/>
  <c r="G438" i="2" s="1"/>
  <c r="D439" i="2"/>
  <c r="G439" i="2" s="1"/>
  <c r="D440" i="2"/>
  <c r="G440" i="2" s="1"/>
  <c r="D441" i="2"/>
  <c r="G441" i="2" s="1"/>
  <c r="D442" i="2"/>
  <c r="G442" i="2" s="1"/>
  <c r="D443" i="2"/>
  <c r="G443" i="2" s="1"/>
  <c r="D444" i="2"/>
  <c r="G444" i="2" s="1"/>
  <c r="D445" i="2"/>
  <c r="G445" i="2" s="1"/>
  <c r="D446" i="2"/>
  <c r="G446" i="2" s="1"/>
  <c r="D447" i="2"/>
  <c r="G447" i="2" s="1"/>
  <c r="D448" i="2"/>
  <c r="G448" i="2" s="1"/>
  <c r="D449" i="2"/>
  <c r="G449" i="2" s="1"/>
  <c r="D450" i="2"/>
  <c r="G450" i="2" s="1"/>
  <c r="D451" i="2"/>
  <c r="G451" i="2" s="1"/>
  <c r="D452" i="2"/>
  <c r="G452" i="2" s="1"/>
  <c r="D453" i="2"/>
  <c r="G453" i="2" s="1"/>
  <c r="D454" i="2"/>
  <c r="G454" i="2" s="1"/>
  <c r="D455" i="2"/>
  <c r="G455" i="2" s="1"/>
  <c r="D456" i="2"/>
  <c r="G456" i="2" s="1"/>
  <c r="D457" i="2"/>
  <c r="G457" i="2" s="1"/>
  <c r="D458" i="2"/>
  <c r="G458" i="2" s="1"/>
  <c r="D459" i="2"/>
  <c r="G459" i="2" s="1"/>
  <c r="D460" i="2"/>
  <c r="G460" i="2" s="1"/>
  <c r="D461" i="2"/>
  <c r="G461" i="2" s="1"/>
  <c r="D462" i="2"/>
  <c r="G462" i="2" s="1"/>
  <c r="D463" i="2"/>
  <c r="G463" i="2" s="1"/>
  <c r="D464" i="2"/>
  <c r="G464" i="2" s="1"/>
  <c r="D465" i="2"/>
  <c r="G465" i="2" s="1"/>
  <c r="D466" i="2"/>
  <c r="G466" i="2" s="1"/>
  <c r="D467" i="2"/>
  <c r="G467" i="2" s="1"/>
  <c r="D468" i="2"/>
  <c r="G468" i="2" s="1"/>
  <c r="D469" i="2"/>
  <c r="G469" i="2" s="1"/>
  <c r="D470" i="2"/>
  <c r="G470" i="2" s="1"/>
  <c r="D471" i="2"/>
  <c r="G471" i="2" s="1"/>
  <c r="D472" i="2"/>
  <c r="G472" i="2" s="1"/>
  <c r="D473" i="2"/>
  <c r="G473" i="2" s="1"/>
  <c r="D474" i="2"/>
  <c r="G474" i="2" s="1"/>
  <c r="D475" i="2"/>
  <c r="G475" i="2" s="1"/>
  <c r="D476" i="2"/>
  <c r="G476" i="2" s="1"/>
  <c r="D477" i="2"/>
  <c r="G477" i="2" s="1"/>
  <c r="D478" i="2"/>
  <c r="G478" i="2" s="1"/>
  <c r="D479" i="2"/>
  <c r="G479" i="2" s="1"/>
  <c r="D480" i="2"/>
  <c r="G480" i="2" s="1"/>
  <c r="D481" i="2"/>
  <c r="G481" i="2" s="1"/>
  <c r="D482" i="2"/>
  <c r="G482" i="2" s="1"/>
  <c r="D483" i="2"/>
  <c r="G483" i="2" s="1"/>
  <c r="D484" i="2"/>
  <c r="G484" i="2" s="1"/>
  <c r="D485" i="2"/>
  <c r="G485" i="2" s="1"/>
  <c r="D486" i="2"/>
  <c r="G486" i="2" s="1"/>
  <c r="D487" i="2"/>
  <c r="G487" i="2" s="1"/>
  <c r="D488" i="2"/>
  <c r="G488" i="2" s="1"/>
  <c r="D489" i="2"/>
  <c r="G489" i="2" s="1"/>
  <c r="D490" i="2"/>
  <c r="G490" i="2" s="1"/>
  <c r="D491" i="2"/>
  <c r="G491" i="2" s="1"/>
  <c r="D492" i="2"/>
  <c r="G492" i="2" s="1"/>
  <c r="D493" i="2"/>
  <c r="G493" i="2" s="1"/>
  <c r="D494" i="2"/>
  <c r="G494" i="2" s="1"/>
  <c r="D495" i="2"/>
  <c r="G495" i="2" s="1"/>
  <c r="D496" i="2"/>
  <c r="G496" i="2" s="1"/>
  <c r="D497" i="2"/>
  <c r="G497" i="2" s="1"/>
  <c r="D498" i="2"/>
  <c r="G498" i="2" s="1"/>
  <c r="D499" i="2"/>
  <c r="G499" i="2" s="1"/>
  <c r="D500" i="2"/>
  <c r="G500" i="2" s="1"/>
  <c r="D501" i="2"/>
  <c r="G501" i="2" s="1"/>
  <c r="D502" i="2"/>
  <c r="G502" i="2" s="1"/>
  <c r="D503" i="2"/>
  <c r="G503" i="2" s="1"/>
  <c r="D504" i="2"/>
  <c r="G504" i="2" s="1"/>
  <c r="D505" i="2"/>
  <c r="G505" i="2" s="1"/>
  <c r="D506" i="2"/>
  <c r="G506" i="2" s="1"/>
  <c r="D507" i="2"/>
  <c r="G507" i="2" s="1"/>
  <c r="D508" i="2"/>
  <c r="G508" i="2" s="1"/>
  <c r="D509" i="2"/>
  <c r="G509" i="2" s="1"/>
  <c r="D510" i="2"/>
  <c r="G510" i="2" s="1"/>
  <c r="D511" i="2"/>
  <c r="G511" i="2" s="1"/>
  <c r="D512" i="2"/>
  <c r="G512" i="2" s="1"/>
  <c r="D513" i="2"/>
  <c r="G513" i="2" s="1"/>
  <c r="D514" i="2"/>
  <c r="G514" i="2" s="1"/>
  <c r="D515" i="2"/>
  <c r="G515" i="2" s="1"/>
  <c r="D516" i="2"/>
  <c r="G516" i="2" s="1"/>
  <c r="D517" i="2"/>
  <c r="G517" i="2" s="1"/>
  <c r="D518" i="2"/>
  <c r="G518" i="2" s="1"/>
  <c r="D519" i="2"/>
  <c r="G519" i="2" s="1"/>
  <c r="D520" i="2"/>
  <c r="G520" i="2" s="1"/>
  <c r="D521" i="2"/>
  <c r="G521" i="2" s="1"/>
  <c r="D522" i="2"/>
  <c r="G522" i="2" s="1"/>
  <c r="D523" i="2"/>
  <c r="G523" i="2" s="1"/>
  <c r="D524" i="2"/>
  <c r="G524" i="2" s="1"/>
  <c r="D525" i="2"/>
  <c r="G525" i="2" s="1"/>
  <c r="D526" i="2"/>
  <c r="G526" i="2" s="1"/>
  <c r="D527" i="2"/>
  <c r="G527" i="2" s="1"/>
  <c r="D528" i="2"/>
  <c r="G528" i="2" s="1"/>
  <c r="D529" i="2"/>
  <c r="G529" i="2" s="1"/>
  <c r="D530" i="2"/>
  <c r="G530" i="2" s="1"/>
  <c r="D531" i="2"/>
  <c r="G531" i="2" s="1"/>
  <c r="D532" i="2"/>
  <c r="G532" i="2" s="1"/>
  <c r="D533" i="2"/>
  <c r="G533" i="2" s="1"/>
  <c r="D534" i="2"/>
  <c r="G534" i="2" s="1"/>
  <c r="D535" i="2"/>
  <c r="G535" i="2" s="1"/>
  <c r="D536" i="2"/>
  <c r="G536" i="2" s="1"/>
  <c r="D537" i="2"/>
  <c r="G537" i="2" s="1"/>
  <c r="D538" i="2"/>
  <c r="G538" i="2" s="1"/>
  <c r="D539" i="2"/>
  <c r="G539" i="2" s="1"/>
  <c r="D540" i="2"/>
  <c r="G540" i="2" s="1"/>
  <c r="D541" i="2"/>
  <c r="G541" i="2" s="1"/>
  <c r="D542" i="2"/>
  <c r="G542" i="2" s="1"/>
  <c r="D543" i="2"/>
  <c r="G543" i="2" s="1"/>
  <c r="D544" i="2"/>
  <c r="G544" i="2" s="1"/>
  <c r="D545" i="2"/>
  <c r="G545" i="2" s="1"/>
  <c r="D546" i="2"/>
  <c r="G546" i="2" s="1"/>
  <c r="D547" i="2"/>
  <c r="G547" i="2" s="1"/>
  <c r="D548" i="2"/>
  <c r="G548" i="2" s="1"/>
  <c r="D549" i="2"/>
  <c r="G549" i="2" s="1"/>
  <c r="D550" i="2"/>
  <c r="G550" i="2" s="1"/>
  <c r="D551" i="2"/>
  <c r="G551" i="2" s="1"/>
  <c r="D552" i="2"/>
  <c r="G552" i="2" s="1"/>
  <c r="D553" i="2"/>
  <c r="G553" i="2" s="1"/>
  <c r="D554" i="2"/>
  <c r="G554" i="2" s="1"/>
  <c r="D555" i="2"/>
  <c r="G555" i="2" s="1"/>
  <c r="D556" i="2"/>
  <c r="G556" i="2" s="1"/>
  <c r="D557" i="2"/>
  <c r="G557" i="2" s="1"/>
  <c r="D558" i="2"/>
  <c r="G558" i="2" s="1"/>
  <c r="D559" i="2"/>
  <c r="G559" i="2" s="1"/>
  <c r="D560" i="2"/>
  <c r="G560" i="2" s="1"/>
  <c r="D561" i="2"/>
  <c r="G561" i="2" s="1"/>
  <c r="D562" i="2"/>
  <c r="G562" i="2" s="1"/>
  <c r="D563" i="2"/>
  <c r="G563" i="2" s="1"/>
  <c r="D564" i="2"/>
  <c r="G564" i="2" s="1"/>
  <c r="D565" i="2"/>
  <c r="G565" i="2" s="1"/>
  <c r="D566" i="2"/>
  <c r="G566" i="2" s="1"/>
  <c r="D567" i="2"/>
  <c r="G567" i="2" s="1"/>
  <c r="D568" i="2"/>
  <c r="G568" i="2" s="1"/>
  <c r="D569" i="2"/>
  <c r="G569" i="2" s="1"/>
  <c r="D570" i="2"/>
  <c r="G570" i="2" s="1"/>
  <c r="D571" i="2"/>
  <c r="G571" i="2" s="1"/>
  <c r="D572" i="2"/>
  <c r="G572" i="2" s="1"/>
  <c r="D573" i="2"/>
  <c r="G573" i="2" s="1"/>
  <c r="D574" i="2"/>
  <c r="G574" i="2" s="1"/>
  <c r="D575" i="2"/>
  <c r="G575" i="2" s="1"/>
  <c r="D576" i="2"/>
  <c r="G576" i="2" s="1"/>
  <c r="D577" i="2"/>
  <c r="G577" i="2" s="1"/>
  <c r="D578" i="2"/>
  <c r="G578" i="2" s="1"/>
  <c r="D579" i="2"/>
  <c r="G579" i="2" s="1"/>
  <c r="D580" i="2"/>
  <c r="G580" i="2" s="1"/>
  <c r="D581" i="2"/>
  <c r="G581" i="2" s="1"/>
  <c r="D582" i="2"/>
  <c r="G582" i="2" s="1"/>
  <c r="D583" i="2"/>
  <c r="G583" i="2" s="1"/>
  <c r="D584" i="2"/>
  <c r="G584" i="2" s="1"/>
  <c r="D585" i="2"/>
  <c r="G585" i="2" s="1"/>
  <c r="D586" i="2"/>
  <c r="G586" i="2" s="1"/>
  <c r="D587" i="2"/>
  <c r="G587" i="2" s="1"/>
  <c r="D588" i="2"/>
  <c r="G588" i="2" s="1"/>
  <c r="D589" i="2"/>
  <c r="G589" i="2" s="1"/>
  <c r="D590" i="2"/>
  <c r="G590" i="2" s="1"/>
  <c r="D591" i="2"/>
  <c r="G591" i="2" s="1"/>
  <c r="D592" i="2"/>
  <c r="G592" i="2" s="1"/>
  <c r="D593" i="2"/>
  <c r="G593" i="2" s="1"/>
  <c r="D594" i="2"/>
  <c r="G594" i="2" s="1"/>
  <c r="D595" i="2"/>
  <c r="G595" i="2" s="1"/>
  <c r="D596" i="2"/>
  <c r="G596" i="2" s="1"/>
  <c r="D597" i="2"/>
  <c r="G597" i="2" s="1"/>
  <c r="D598" i="2"/>
  <c r="G598" i="2" s="1"/>
  <c r="D599" i="2"/>
  <c r="G599" i="2" s="1"/>
  <c r="D600" i="2"/>
  <c r="G600" i="2" s="1"/>
  <c r="D601" i="2"/>
  <c r="G601" i="2" s="1"/>
  <c r="D602" i="2"/>
  <c r="G602" i="2" s="1"/>
  <c r="D603" i="2"/>
  <c r="G603" i="2" s="1"/>
  <c r="D604" i="2"/>
  <c r="G604" i="2" s="1"/>
  <c r="D605" i="2"/>
  <c r="G605" i="2" s="1"/>
  <c r="D606" i="2"/>
  <c r="G606" i="2" s="1"/>
  <c r="D607" i="2"/>
  <c r="G607" i="2" s="1"/>
  <c r="D608" i="2"/>
  <c r="G608" i="2" s="1"/>
  <c r="D609" i="2"/>
  <c r="G609" i="2" s="1"/>
  <c r="D610" i="2"/>
  <c r="G610" i="2" s="1"/>
  <c r="D611" i="2"/>
  <c r="G611" i="2" s="1"/>
  <c r="D612" i="2"/>
  <c r="G612" i="2" s="1"/>
  <c r="D613" i="2"/>
  <c r="G613" i="2" s="1"/>
  <c r="D614" i="2"/>
  <c r="G614" i="2" s="1"/>
  <c r="D615" i="2"/>
  <c r="G615" i="2" s="1"/>
  <c r="D616" i="2"/>
  <c r="G616" i="2" s="1"/>
  <c r="D617" i="2"/>
  <c r="G617" i="2" s="1"/>
  <c r="D618" i="2"/>
  <c r="G618" i="2" s="1"/>
  <c r="D619" i="2"/>
  <c r="G619" i="2" s="1"/>
  <c r="D620" i="2"/>
  <c r="G620" i="2" s="1"/>
  <c r="D621" i="2"/>
  <c r="G621" i="2" s="1"/>
  <c r="D622" i="2"/>
  <c r="G622" i="2" s="1"/>
  <c r="D623" i="2"/>
  <c r="G623" i="2" s="1"/>
  <c r="D624" i="2"/>
  <c r="G624" i="2" s="1"/>
  <c r="D625" i="2"/>
  <c r="G625" i="2" s="1"/>
  <c r="D626" i="2"/>
  <c r="G626" i="2" s="1"/>
  <c r="D627" i="2"/>
  <c r="G627" i="2" s="1"/>
  <c r="D628" i="2"/>
  <c r="G628" i="2" s="1"/>
  <c r="D629" i="2"/>
  <c r="G629" i="2" s="1"/>
  <c r="D630" i="2"/>
  <c r="G630" i="2" s="1"/>
  <c r="D631" i="2"/>
  <c r="G631" i="2" s="1"/>
  <c r="D632" i="2"/>
  <c r="G632" i="2" s="1"/>
  <c r="D633" i="2"/>
  <c r="G633" i="2" s="1"/>
  <c r="D634" i="2"/>
  <c r="G634" i="2" s="1"/>
  <c r="D635" i="2"/>
  <c r="G635" i="2" s="1"/>
  <c r="D636" i="2"/>
  <c r="G636" i="2" s="1"/>
  <c r="D637" i="2"/>
  <c r="G637" i="2" s="1"/>
  <c r="D638" i="2"/>
  <c r="G638" i="2" s="1"/>
  <c r="D639" i="2"/>
  <c r="G639" i="2" s="1"/>
  <c r="D640" i="2"/>
  <c r="G640" i="2" s="1"/>
  <c r="D641" i="2"/>
  <c r="G641" i="2" s="1"/>
  <c r="D642" i="2"/>
  <c r="G642" i="2" s="1"/>
  <c r="D643" i="2"/>
  <c r="G643" i="2" s="1"/>
  <c r="D644" i="2"/>
  <c r="G644" i="2" s="1"/>
  <c r="D645" i="2"/>
  <c r="G645" i="2" s="1"/>
  <c r="D646" i="2"/>
  <c r="G646" i="2" s="1"/>
  <c r="D647" i="2"/>
  <c r="G647" i="2" s="1"/>
  <c r="D648" i="2"/>
  <c r="G648" i="2" s="1"/>
  <c r="D649" i="2"/>
  <c r="G649" i="2" s="1"/>
  <c r="D650" i="2"/>
  <c r="G650" i="2" s="1"/>
  <c r="D651" i="2"/>
  <c r="G651" i="2" s="1"/>
  <c r="D652" i="2"/>
  <c r="G652" i="2" s="1"/>
  <c r="D653" i="2"/>
  <c r="G653" i="2" s="1"/>
  <c r="D654" i="2"/>
  <c r="G654" i="2" s="1"/>
  <c r="D655" i="2"/>
  <c r="G655" i="2" s="1"/>
  <c r="D656" i="2"/>
  <c r="G656" i="2" s="1"/>
  <c r="D657" i="2"/>
  <c r="G657" i="2" s="1"/>
  <c r="D658" i="2"/>
  <c r="G658" i="2" s="1"/>
  <c r="D659" i="2"/>
  <c r="G659" i="2" s="1"/>
  <c r="D660" i="2"/>
  <c r="G660" i="2" s="1"/>
  <c r="D661" i="2"/>
  <c r="G661" i="2" s="1"/>
  <c r="D662" i="2"/>
  <c r="G662" i="2" s="1"/>
  <c r="D663" i="2"/>
  <c r="G663" i="2" s="1"/>
  <c r="D664" i="2"/>
  <c r="G664" i="2" s="1"/>
  <c r="D665" i="2"/>
  <c r="G665" i="2" s="1"/>
  <c r="D666" i="2"/>
  <c r="G666" i="2" s="1"/>
  <c r="D667" i="2"/>
  <c r="G667" i="2" s="1"/>
  <c r="D668" i="2"/>
  <c r="G668" i="2" s="1"/>
  <c r="D669" i="2"/>
  <c r="G669" i="2" s="1"/>
  <c r="D670" i="2"/>
  <c r="G670" i="2" s="1"/>
  <c r="D671" i="2"/>
  <c r="G671" i="2" s="1"/>
  <c r="D672" i="2"/>
  <c r="G672" i="2" s="1"/>
  <c r="D673" i="2"/>
  <c r="G673" i="2" s="1"/>
  <c r="D674" i="2"/>
  <c r="G674" i="2" s="1"/>
  <c r="D675" i="2"/>
  <c r="G675" i="2" s="1"/>
  <c r="D676" i="2"/>
  <c r="G676" i="2" s="1"/>
  <c r="D677" i="2"/>
  <c r="G677" i="2" s="1"/>
  <c r="D678" i="2"/>
  <c r="G678" i="2" s="1"/>
  <c r="D679" i="2"/>
  <c r="G679" i="2" s="1"/>
  <c r="D680" i="2"/>
  <c r="G680" i="2" s="1"/>
  <c r="D681" i="2"/>
  <c r="G681" i="2" s="1"/>
  <c r="D682" i="2"/>
  <c r="G682" i="2" s="1"/>
  <c r="D683" i="2"/>
  <c r="G683" i="2" s="1"/>
  <c r="D684" i="2"/>
  <c r="G684" i="2" s="1"/>
  <c r="D685" i="2"/>
  <c r="G685" i="2" s="1"/>
  <c r="D686" i="2"/>
  <c r="G686" i="2" s="1"/>
  <c r="D687" i="2"/>
  <c r="G687" i="2" s="1"/>
  <c r="D688" i="2"/>
  <c r="G688" i="2" s="1"/>
  <c r="D689" i="2"/>
  <c r="G689" i="2" s="1"/>
  <c r="D690" i="2"/>
  <c r="G690" i="2" s="1"/>
  <c r="D691" i="2"/>
  <c r="G691" i="2" s="1"/>
  <c r="D692" i="2"/>
  <c r="G692" i="2" s="1"/>
  <c r="D693" i="2"/>
  <c r="G693" i="2" s="1"/>
  <c r="D694" i="2"/>
  <c r="G694" i="2" s="1"/>
  <c r="D695" i="2"/>
  <c r="G695" i="2" s="1"/>
  <c r="D696" i="2"/>
  <c r="G696" i="2" s="1"/>
  <c r="D697" i="2"/>
  <c r="G697" i="2" s="1"/>
  <c r="D698" i="2"/>
  <c r="G698" i="2" s="1"/>
  <c r="D699" i="2"/>
  <c r="G699" i="2" s="1"/>
  <c r="D700" i="2"/>
  <c r="G700" i="2" s="1"/>
  <c r="D701" i="2"/>
  <c r="G701" i="2" s="1"/>
  <c r="D702" i="2"/>
  <c r="G702" i="2" s="1"/>
  <c r="D703" i="2"/>
  <c r="G703" i="2" s="1"/>
  <c r="D704" i="2"/>
  <c r="G704" i="2" s="1"/>
  <c r="D705" i="2"/>
  <c r="G705" i="2" s="1"/>
  <c r="D706" i="2"/>
  <c r="G706" i="2" s="1"/>
  <c r="D707" i="2"/>
  <c r="G707" i="2" s="1"/>
  <c r="D708" i="2"/>
  <c r="G708" i="2" s="1"/>
  <c r="D709" i="2"/>
  <c r="G709" i="2" s="1"/>
  <c r="D710" i="2"/>
  <c r="G710" i="2" s="1"/>
  <c r="D711" i="2"/>
  <c r="G711" i="2" s="1"/>
  <c r="D712" i="2"/>
  <c r="G712" i="2" s="1"/>
  <c r="D713" i="2"/>
  <c r="G713" i="2" s="1"/>
  <c r="D714" i="2"/>
  <c r="G714" i="2" s="1"/>
  <c r="D715" i="2"/>
  <c r="G715" i="2" s="1"/>
  <c r="D716" i="2"/>
  <c r="G716" i="2" s="1"/>
  <c r="D717" i="2"/>
  <c r="G717" i="2" s="1"/>
  <c r="D718" i="2"/>
  <c r="G718" i="2" s="1"/>
  <c r="D719" i="2"/>
  <c r="G719" i="2" s="1"/>
  <c r="D720" i="2"/>
  <c r="G720" i="2" s="1"/>
  <c r="D721" i="2"/>
  <c r="G721" i="2" s="1"/>
  <c r="D722" i="2"/>
  <c r="G722" i="2" s="1"/>
  <c r="D723" i="2"/>
  <c r="G723" i="2" s="1"/>
  <c r="D724" i="2"/>
  <c r="G724" i="2" s="1"/>
  <c r="D725" i="2"/>
  <c r="G725" i="2" s="1"/>
  <c r="D726" i="2"/>
  <c r="G726" i="2" s="1"/>
  <c r="D727" i="2"/>
  <c r="G727" i="2" s="1"/>
  <c r="D728" i="2"/>
  <c r="G728" i="2" s="1"/>
  <c r="D729" i="2"/>
  <c r="G729" i="2" s="1"/>
  <c r="D730" i="2"/>
  <c r="G730" i="2" s="1"/>
  <c r="D731" i="2"/>
  <c r="G731" i="2" s="1"/>
  <c r="D732" i="2"/>
  <c r="G732" i="2" s="1"/>
  <c r="D733" i="2"/>
  <c r="G733" i="2" s="1"/>
  <c r="D734" i="2"/>
  <c r="G734" i="2" s="1"/>
  <c r="D735" i="2"/>
  <c r="G735" i="2" s="1"/>
  <c r="D736" i="2"/>
  <c r="G736" i="2" s="1"/>
  <c r="D737" i="2"/>
  <c r="G737" i="2" s="1"/>
  <c r="D738" i="2"/>
  <c r="G738" i="2" s="1"/>
  <c r="D739" i="2"/>
  <c r="G739" i="2" s="1"/>
  <c r="D740" i="2"/>
  <c r="G740" i="2" s="1"/>
  <c r="D741" i="2"/>
  <c r="G741" i="2" s="1"/>
  <c r="D742" i="2"/>
  <c r="G742" i="2" s="1"/>
  <c r="D743" i="2"/>
  <c r="G743" i="2" s="1"/>
  <c r="D744" i="2"/>
  <c r="G744" i="2" s="1"/>
  <c r="D745" i="2"/>
  <c r="G745" i="2" s="1"/>
  <c r="D746" i="2"/>
  <c r="G746" i="2" s="1"/>
  <c r="D747" i="2"/>
  <c r="G747" i="2" s="1"/>
  <c r="D748" i="2"/>
  <c r="G748" i="2" s="1"/>
  <c r="D749" i="2"/>
  <c r="G749" i="2" s="1"/>
  <c r="D750" i="2"/>
  <c r="G750" i="2" s="1"/>
  <c r="D751" i="2"/>
  <c r="G751" i="2" s="1"/>
  <c r="D752" i="2"/>
  <c r="G752" i="2" s="1"/>
  <c r="D753" i="2"/>
  <c r="G753" i="2" s="1"/>
  <c r="D754" i="2"/>
  <c r="G754" i="2" s="1"/>
  <c r="D755" i="2"/>
  <c r="G755" i="2" s="1"/>
  <c r="D756" i="2"/>
  <c r="G756" i="2" s="1"/>
  <c r="D757" i="2"/>
  <c r="G757" i="2" s="1"/>
  <c r="D758" i="2"/>
  <c r="G758" i="2" s="1"/>
  <c r="D759" i="2"/>
  <c r="G759" i="2" s="1"/>
  <c r="D760" i="2"/>
  <c r="G760" i="2" s="1"/>
  <c r="D761" i="2"/>
  <c r="G761" i="2" s="1"/>
  <c r="D762" i="2"/>
  <c r="G762" i="2" s="1"/>
  <c r="D763" i="2"/>
  <c r="G763" i="2" s="1"/>
  <c r="D764" i="2"/>
  <c r="G764" i="2" s="1"/>
  <c r="D765" i="2"/>
  <c r="G765" i="2" s="1"/>
  <c r="D766" i="2"/>
  <c r="G766" i="2" s="1"/>
  <c r="D767" i="2"/>
  <c r="G767" i="2" s="1"/>
  <c r="D768" i="2"/>
  <c r="G768" i="2" s="1"/>
  <c r="D769" i="2"/>
  <c r="G769" i="2" s="1"/>
  <c r="D770" i="2"/>
  <c r="G770" i="2" s="1"/>
  <c r="D771" i="2"/>
  <c r="G771" i="2" s="1"/>
  <c r="D772" i="2"/>
  <c r="G772" i="2" s="1"/>
  <c r="D773" i="2"/>
  <c r="G773" i="2" s="1"/>
  <c r="D774" i="2"/>
  <c r="G774" i="2" s="1"/>
  <c r="D775" i="2"/>
  <c r="G775" i="2" s="1"/>
  <c r="D776" i="2"/>
  <c r="G776" i="2" s="1"/>
  <c r="D777" i="2"/>
  <c r="G777" i="2" s="1"/>
  <c r="D778" i="2"/>
  <c r="G778" i="2" s="1"/>
  <c r="D779" i="2"/>
  <c r="G779" i="2" s="1"/>
  <c r="D780" i="2"/>
  <c r="G780" i="2" s="1"/>
  <c r="D781" i="2"/>
  <c r="G781" i="2" s="1"/>
  <c r="D782" i="2"/>
  <c r="G782" i="2" s="1"/>
  <c r="D783" i="2"/>
  <c r="G783" i="2" s="1"/>
  <c r="D784" i="2"/>
  <c r="G784" i="2" s="1"/>
  <c r="D785" i="2"/>
  <c r="G785" i="2" s="1"/>
  <c r="D786" i="2"/>
  <c r="G786" i="2" s="1"/>
  <c r="D787" i="2"/>
  <c r="G787" i="2" s="1"/>
  <c r="D788" i="2"/>
  <c r="G788" i="2" s="1"/>
  <c r="D789" i="2"/>
  <c r="G789" i="2" s="1"/>
  <c r="D790" i="2"/>
  <c r="G790" i="2" s="1"/>
  <c r="D791" i="2"/>
  <c r="G791" i="2" s="1"/>
  <c r="D792" i="2"/>
  <c r="G792" i="2" s="1"/>
  <c r="D793" i="2"/>
  <c r="G793" i="2" s="1"/>
  <c r="D794" i="2"/>
  <c r="G794" i="2" s="1"/>
  <c r="D795" i="2"/>
  <c r="G795" i="2" s="1"/>
  <c r="D796" i="2"/>
  <c r="G796" i="2" s="1"/>
  <c r="D797" i="2"/>
  <c r="G797" i="2" s="1"/>
  <c r="D798" i="2"/>
  <c r="G798" i="2" s="1"/>
  <c r="D799" i="2"/>
  <c r="G799" i="2" s="1"/>
  <c r="D800" i="2"/>
  <c r="G800" i="2" s="1"/>
  <c r="D801" i="2"/>
  <c r="G801" i="2" s="1"/>
  <c r="D802" i="2"/>
  <c r="G802" i="2" s="1"/>
  <c r="D803" i="2"/>
  <c r="G803" i="2" s="1"/>
  <c r="D804" i="2"/>
  <c r="G804" i="2" s="1"/>
  <c r="D805" i="2"/>
  <c r="G805" i="2" s="1"/>
  <c r="D806" i="2"/>
  <c r="G806" i="2" s="1"/>
  <c r="D807" i="2"/>
  <c r="G807" i="2" s="1"/>
  <c r="D808" i="2"/>
  <c r="G808" i="2" s="1"/>
  <c r="D809" i="2"/>
  <c r="G809" i="2" s="1"/>
  <c r="D810" i="2"/>
  <c r="G810" i="2" s="1"/>
  <c r="D811" i="2"/>
  <c r="G811" i="2" s="1"/>
  <c r="D812" i="2"/>
  <c r="G812" i="2" s="1"/>
  <c r="D813" i="2"/>
  <c r="G813" i="2" s="1"/>
  <c r="D814" i="2"/>
  <c r="G814" i="2" s="1"/>
  <c r="D815" i="2"/>
  <c r="G815" i="2" s="1"/>
  <c r="D816" i="2"/>
  <c r="G816" i="2" s="1"/>
  <c r="D817" i="2"/>
  <c r="G817" i="2" s="1"/>
  <c r="D818" i="2"/>
  <c r="G818" i="2" s="1"/>
  <c r="D819" i="2"/>
  <c r="G819" i="2" s="1"/>
  <c r="D820" i="2"/>
  <c r="G820" i="2" s="1"/>
  <c r="D821" i="2"/>
  <c r="G821" i="2" s="1"/>
  <c r="D822" i="2"/>
  <c r="G822" i="2" s="1"/>
  <c r="D823" i="2"/>
  <c r="G823" i="2" s="1"/>
  <c r="D824" i="2"/>
  <c r="G824" i="2" s="1"/>
  <c r="D825" i="2"/>
  <c r="G825" i="2" s="1"/>
  <c r="D826" i="2"/>
  <c r="G826" i="2" s="1"/>
  <c r="D827" i="2"/>
  <c r="G827" i="2" s="1"/>
  <c r="D828" i="2"/>
  <c r="G828" i="2" s="1"/>
  <c r="D829" i="2"/>
  <c r="G829" i="2" s="1"/>
  <c r="D830" i="2"/>
  <c r="G830" i="2" s="1"/>
  <c r="D831" i="2"/>
  <c r="G831" i="2" s="1"/>
  <c r="D832" i="2"/>
  <c r="G832" i="2" s="1"/>
  <c r="D833" i="2"/>
  <c r="G833" i="2" s="1"/>
  <c r="D834" i="2"/>
  <c r="G834" i="2" s="1"/>
  <c r="D835" i="2"/>
  <c r="G835" i="2" s="1"/>
  <c r="D836" i="2"/>
  <c r="G836" i="2" s="1"/>
  <c r="D837" i="2"/>
  <c r="G837" i="2" s="1"/>
  <c r="D838" i="2"/>
  <c r="G838" i="2" s="1"/>
  <c r="D839" i="2"/>
  <c r="G839" i="2" s="1"/>
  <c r="D840" i="2"/>
  <c r="G840" i="2" s="1"/>
  <c r="D841" i="2"/>
  <c r="G841" i="2" s="1"/>
  <c r="D842" i="2"/>
  <c r="G842" i="2" s="1"/>
  <c r="D843" i="2"/>
  <c r="G843" i="2" s="1"/>
  <c r="D844" i="2"/>
  <c r="G844" i="2" s="1"/>
  <c r="D845" i="2"/>
  <c r="G845" i="2" s="1"/>
  <c r="D846" i="2"/>
  <c r="G846" i="2" s="1"/>
  <c r="D847" i="2"/>
  <c r="G847" i="2" s="1"/>
  <c r="D848" i="2"/>
  <c r="G848" i="2" s="1"/>
  <c r="D849" i="2"/>
  <c r="G849" i="2" s="1"/>
  <c r="D850" i="2"/>
  <c r="G850" i="2" s="1"/>
  <c r="D851" i="2"/>
  <c r="G851" i="2" s="1"/>
  <c r="D852" i="2"/>
  <c r="G852" i="2" s="1"/>
  <c r="D853" i="2"/>
  <c r="G853" i="2" s="1"/>
  <c r="D854" i="2"/>
  <c r="G854" i="2" s="1"/>
  <c r="D855" i="2"/>
  <c r="G855" i="2" s="1"/>
  <c r="D856" i="2"/>
  <c r="G856" i="2" s="1"/>
  <c r="D857" i="2"/>
  <c r="G857" i="2" s="1"/>
  <c r="D858" i="2"/>
  <c r="G858" i="2" s="1"/>
  <c r="D859" i="2"/>
  <c r="G859" i="2" s="1"/>
  <c r="D860" i="2"/>
  <c r="G860" i="2" s="1"/>
  <c r="D861" i="2"/>
  <c r="G861" i="2" s="1"/>
  <c r="D862" i="2"/>
  <c r="G862" i="2" s="1"/>
  <c r="D863" i="2"/>
  <c r="G863" i="2" s="1"/>
  <c r="D864" i="2"/>
  <c r="G864" i="2" s="1"/>
  <c r="D865" i="2"/>
  <c r="G865" i="2" s="1"/>
  <c r="D866" i="2"/>
  <c r="G866" i="2" s="1"/>
  <c r="D867" i="2"/>
  <c r="G867" i="2" s="1"/>
  <c r="D868" i="2"/>
  <c r="G868" i="2" s="1"/>
  <c r="D869" i="2"/>
  <c r="G869" i="2" s="1"/>
  <c r="D870" i="2"/>
  <c r="G870" i="2" s="1"/>
  <c r="D871" i="2"/>
  <c r="G871" i="2" s="1"/>
  <c r="D872" i="2"/>
  <c r="G872" i="2" s="1"/>
  <c r="D873" i="2"/>
  <c r="G873" i="2" s="1"/>
  <c r="D874" i="2"/>
  <c r="G874" i="2" s="1"/>
  <c r="D875" i="2"/>
  <c r="G875" i="2" s="1"/>
  <c r="D876" i="2"/>
  <c r="G876" i="2" s="1"/>
  <c r="D877" i="2"/>
  <c r="G877" i="2" s="1"/>
  <c r="D878" i="2"/>
  <c r="G878" i="2" s="1"/>
  <c r="D879" i="2"/>
  <c r="G879" i="2" s="1"/>
  <c r="D880" i="2"/>
  <c r="G880" i="2" s="1"/>
  <c r="D881" i="2"/>
  <c r="G881" i="2" s="1"/>
  <c r="D882" i="2"/>
  <c r="G882" i="2" s="1"/>
  <c r="D883" i="2"/>
  <c r="G883" i="2" s="1"/>
  <c r="D884" i="2"/>
  <c r="G884" i="2" s="1"/>
  <c r="D885" i="2"/>
  <c r="G885" i="2" s="1"/>
  <c r="D886" i="2"/>
  <c r="G886" i="2" s="1"/>
  <c r="D887" i="2"/>
  <c r="G887" i="2" s="1"/>
  <c r="D888" i="2"/>
  <c r="G888" i="2" s="1"/>
  <c r="D889" i="2"/>
  <c r="G889" i="2" s="1"/>
  <c r="D890" i="2"/>
  <c r="G890" i="2" s="1"/>
  <c r="D891" i="2"/>
  <c r="G891" i="2" s="1"/>
  <c r="D892" i="2"/>
  <c r="G892" i="2" s="1"/>
  <c r="D893" i="2"/>
  <c r="G893" i="2" s="1"/>
  <c r="D894" i="2"/>
  <c r="G894" i="2" s="1"/>
  <c r="D895" i="2"/>
  <c r="G895" i="2" s="1"/>
  <c r="D896" i="2"/>
  <c r="G896" i="2" s="1"/>
  <c r="D897" i="2"/>
  <c r="G897" i="2" s="1"/>
  <c r="D898" i="2"/>
  <c r="G898" i="2" s="1"/>
  <c r="D899" i="2"/>
  <c r="G899" i="2" s="1"/>
  <c r="D900" i="2"/>
  <c r="G900" i="2" s="1"/>
  <c r="D901" i="2"/>
  <c r="G901" i="2" s="1"/>
  <c r="D902" i="2"/>
  <c r="G902" i="2" s="1"/>
  <c r="D903" i="2"/>
  <c r="G903" i="2" s="1"/>
  <c r="D904" i="2"/>
  <c r="G904" i="2" s="1"/>
  <c r="D905" i="2"/>
  <c r="G905" i="2" s="1"/>
  <c r="D906" i="2"/>
  <c r="G906" i="2" s="1"/>
  <c r="D907" i="2"/>
  <c r="G907" i="2" s="1"/>
  <c r="D908" i="2"/>
  <c r="G908" i="2" s="1"/>
  <c r="D909" i="2"/>
  <c r="G909" i="2" s="1"/>
  <c r="D910" i="2"/>
  <c r="G910" i="2" s="1"/>
  <c r="D911" i="2"/>
  <c r="G911" i="2" s="1"/>
  <c r="D912" i="2"/>
  <c r="G912" i="2" s="1"/>
  <c r="D913" i="2"/>
  <c r="G913" i="2" s="1"/>
  <c r="D914" i="2"/>
  <c r="G914" i="2" s="1"/>
  <c r="D915" i="2"/>
  <c r="G915" i="2" s="1"/>
  <c r="D916" i="2"/>
  <c r="G916" i="2" s="1"/>
  <c r="D917" i="2"/>
  <c r="G917" i="2" s="1"/>
  <c r="D918" i="2"/>
  <c r="G918" i="2" s="1"/>
  <c r="D919" i="2"/>
  <c r="G919" i="2" s="1"/>
  <c r="D920" i="2"/>
  <c r="G920" i="2" s="1"/>
  <c r="D921" i="2"/>
  <c r="G921" i="2" s="1"/>
  <c r="D922" i="2"/>
  <c r="G922" i="2" s="1"/>
  <c r="D923" i="2"/>
  <c r="G923" i="2" s="1"/>
  <c r="D924" i="2"/>
  <c r="G924" i="2" s="1"/>
  <c r="D925" i="2"/>
  <c r="G925" i="2" s="1"/>
  <c r="D926" i="2"/>
  <c r="G926" i="2" s="1"/>
  <c r="D927" i="2"/>
  <c r="G927" i="2" s="1"/>
  <c r="D928" i="2"/>
  <c r="G928" i="2" s="1"/>
  <c r="D929" i="2"/>
  <c r="G929" i="2" s="1"/>
  <c r="D930" i="2"/>
  <c r="G930" i="2" s="1"/>
  <c r="D931" i="2"/>
  <c r="G931" i="2" s="1"/>
  <c r="D932" i="2"/>
  <c r="G932" i="2" s="1"/>
  <c r="D933" i="2"/>
  <c r="G933" i="2" s="1"/>
  <c r="D934" i="2"/>
  <c r="G934" i="2" s="1"/>
  <c r="D935" i="2"/>
  <c r="G935" i="2" s="1"/>
  <c r="D936" i="2"/>
  <c r="G936" i="2" s="1"/>
  <c r="D937" i="2"/>
  <c r="G937" i="2" s="1"/>
  <c r="D938" i="2"/>
  <c r="G938" i="2" s="1"/>
  <c r="D939" i="2"/>
  <c r="G939" i="2" s="1"/>
  <c r="D940" i="2"/>
  <c r="G940" i="2" s="1"/>
  <c r="D941" i="2"/>
  <c r="G941" i="2" s="1"/>
  <c r="D942" i="2"/>
  <c r="G942" i="2" s="1"/>
  <c r="D943" i="2"/>
  <c r="G943" i="2" s="1"/>
  <c r="D944" i="2"/>
  <c r="G944" i="2" s="1"/>
  <c r="D945" i="2"/>
  <c r="G945" i="2" s="1"/>
  <c r="D946" i="2"/>
  <c r="G946" i="2" s="1"/>
  <c r="D947" i="2"/>
  <c r="G947" i="2" s="1"/>
  <c r="D948" i="2"/>
  <c r="G948" i="2" s="1"/>
  <c r="D949" i="2"/>
  <c r="G949" i="2" s="1"/>
  <c r="D950" i="2"/>
  <c r="G950" i="2" s="1"/>
  <c r="D951" i="2"/>
  <c r="G951" i="2" s="1"/>
  <c r="D952" i="2"/>
  <c r="G952" i="2" s="1"/>
  <c r="D953" i="2"/>
  <c r="G953" i="2" s="1"/>
  <c r="D954" i="2"/>
  <c r="G954" i="2" s="1"/>
  <c r="D955" i="2"/>
  <c r="G955" i="2" s="1"/>
  <c r="D956" i="2"/>
  <c r="G956" i="2" s="1"/>
  <c r="D957" i="2"/>
  <c r="G957" i="2" s="1"/>
  <c r="D958" i="2"/>
  <c r="G958" i="2" s="1"/>
  <c r="D959" i="2"/>
  <c r="G959" i="2" s="1"/>
  <c r="D960" i="2"/>
  <c r="G960" i="2" s="1"/>
  <c r="D961" i="2"/>
  <c r="G961" i="2" s="1"/>
  <c r="D962" i="2"/>
  <c r="G962" i="2" s="1"/>
  <c r="D963" i="2"/>
  <c r="G963" i="2" s="1"/>
  <c r="D964" i="2"/>
  <c r="G964" i="2" s="1"/>
  <c r="D965" i="2"/>
  <c r="G965" i="2" s="1"/>
  <c r="D966" i="2"/>
  <c r="G966" i="2" s="1"/>
  <c r="D967" i="2"/>
  <c r="G967" i="2" s="1"/>
  <c r="D968" i="2"/>
  <c r="G968" i="2" s="1"/>
  <c r="D969" i="2"/>
  <c r="G969" i="2" s="1"/>
  <c r="D970" i="2"/>
  <c r="G970" i="2" s="1"/>
  <c r="D971" i="2"/>
  <c r="G971" i="2" s="1"/>
  <c r="D972" i="2"/>
  <c r="G972" i="2" s="1"/>
  <c r="D973" i="2"/>
  <c r="G973" i="2" s="1"/>
  <c r="D974" i="2"/>
  <c r="G974" i="2" s="1"/>
  <c r="D975" i="2"/>
  <c r="G975" i="2" s="1"/>
  <c r="D976" i="2"/>
  <c r="G976" i="2" s="1"/>
  <c r="D977" i="2"/>
  <c r="G977" i="2" s="1"/>
  <c r="D978" i="2"/>
  <c r="G978" i="2" s="1"/>
  <c r="D979" i="2"/>
  <c r="G979" i="2" s="1"/>
  <c r="D980" i="2"/>
  <c r="G980" i="2" s="1"/>
  <c r="D981" i="2"/>
  <c r="G981" i="2" s="1"/>
  <c r="D982" i="2"/>
  <c r="G982" i="2" s="1"/>
  <c r="D983" i="2"/>
  <c r="G983" i="2" s="1"/>
  <c r="D984" i="2"/>
  <c r="G984" i="2" s="1"/>
  <c r="D985" i="2"/>
  <c r="G985" i="2" s="1"/>
  <c r="D986" i="2"/>
  <c r="G986" i="2" s="1"/>
  <c r="D987" i="2"/>
  <c r="G987" i="2" s="1"/>
  <c r="D988" i="2"/>
  <c r="G988" i="2" s="1"/>
  <c r="D989" i="2"/>
  <c r="G989" i="2" s="1"/>
  <c r="D990" i="2"/>
  <c r="G990" i="2" s="1"/>
  <c r="D991" i="2"/>
  <c r="G991" i="2" s="1"/>
  <c r="D992" i="2"/>
  <c r="G992" i="2" s="1"/>
  <c r="D993" i="2"/>
  <c r="G993" i="2" s="1"/>
  <c r="D994" i="2"/>
  <c r="G994" i="2" s="1"/>
  <c r="D995" i="2"/>
  <c r="G995" i="2" s="1"/>
  <c r="D996" i="2"/>
  <c r="G996" i="2" s="1"/>
  <c r="D997" i="2"/>
  <c r="G997" i="2" s="1"/>
  <c r="D998" i="2"/>
  <c r="G998" i="2" s="1"/>
  <c r="D999" i="2"/>
  <c r="G999" i="2" s="1"/>
  <c r="D1000" i="2"/>
  <c r="G1000" i="2" s="1"/>
  <c r="D1001" i="2"/>
  <c r="G1001" i="2" s="1"/>
  <c r="D1002" i="2"/>
  <c r="G1002" i="2" s="1"/>
  <c r="D1003" i="2"/>
  <c r="G1003" i="2" s="1"/>
  <c r="D1004" i="2"/>
  <c r="G1004" i="2" s="1"/>
  <c r="D1005" i="2"/>
  <c r="G1005" i="2" s="1"/>
  <c r="D1006" i="2"/>
  <c r="G1006" i="2" s="1"/>
  <c r="D2" i="2"/>
  <c r="G2" i="2" s="1"/>
  <c r="I7" i="2"/>
  <c r="I8" i="2"/>
  <c r="I9" i="2"/>
  <c r="I11" i="2"/>
  <c r="I15" i="2"/>
  <c r="I16" i="2"/>
  <c r="I19" i="2"/>
  <c r="I21" i="2"/>
  <c r="I23" i="2"/>
  <c r="I24" i="2"/>
  <c r="I27" i="2"/>
  <c r="I31" i="2"/>
  <c r="I32" i="2"/>
  <c r="I35" i="2"/>
  <c r="I39" i="2"/>
  <c r="I40" i="2"/>
  <c r="I43" i="2"/>
  <c r="I47" i="2"/>
  <c r="I48" i="2"/>
  <c r="I49" i="2"/>
  <c r="I51" i="2"/>
  <c r="I53" i="2"/>
  <c r="I55" i="2"/>
  <c r="I59" i="2"/>
  <c r="I63" i="2"/>
  <c r="I64" i="2"/>
  <c r="I67" i="2"/>
  <c r="I69" i="2"/>
  <c r="I71" i="2"/>
  <c r="I72" i="2"/>
  <c r="I75" i="2"/>
  <c r="I79" i="2"/>
  <c r="I80" i="2"/>
  <c r="I81" i="2"/>
  <c r="I83" i="2"/>
  <c r="I85" i="2"/>
  <c r="I87" i="2"/>
  <c r="I91" i="2"/>
  <c r="I95" i="2"/>
  <c r="I99" i="2"/>
  <c r="I103" i="2"/>
  <c r="I107" i="2"/>
  <c r="I108" i="2"/>
  <c r="I111" i="2"/>
  <c r="I113" i="2"/>
  <c r="I115" i="2"/>
  <c r="I117" i="2"/>
  <c r="I119" i="2"/>
  <c r="I123" i="2"/>
  <c r="I124" i="2"/>
  <c r="I127" i="2"/>
  <c r="I131" i="2"/>
  <c r="I132" i="2"/>
  <c r="I133" i="2"/>
  <c r="I135" i="2"/>
  <c r="I139" i="2"/>
  <c r="I143" i="2"/>
  <c r="I145" i="2"/>
  <c r="I147" i="2"/>
  <c r="I149" i="2"/>
  <c r="I151" i="2"/>
  <c r="I155" i="2"/>
  <c r="I159" i="2"/>
  <c r="I163" i="2"/>
  <c r="I167" i="2"/>
  <c r="I171" i="2"/>
  <c r="I175" i="2"/>
  <c r="I177" i="2"/>
  <c r="I179" i="2"/>
  <c r="I181" i="2"/>
  <c r="I183" i="2"/>
  <c r="I187" i="2"/>
  <c r="I191" i="2"/>
  <c r="I195" i="2"/>
  <c r="I196" i="2"/>
  <c r="I197" i="2"/>
  <c r="I199" i="2"/>
  <c r="I203" i="2"/>
  <c r="I207" i="2"/>
  <c r="I209" i="2"/>
  <c r="I211" i="2"/>
  <c r="I213" i="2"/>
  <c r="I215" i="2"/>
  <c r="I216" i="2"/>
  <c r="I219" i="2"/>
  <c r="I223" i="2"/>
  <c r="I227" i="2"/>
  <c r="I231" i="2"/>
  <c r="I235" i="2"/>
  <c r="I239" i="2"/>
  <c r="I241" i="2"/>
  <c r="I243" i="2"/>
  <c r="I245" i="2"/>
  <c r="I247" i="2"/>
  <c r="I251" i="2"/>
  <c r="I252" i="2"/>
  <c r="I255" i="2"/>
  <c r="I259" i="2"/>
  <c r="I260" i="2"/>
  <c r="I261" i="2"/>
  <c r="I263" i="2"/>
  <c r="I267" i="2"/>
  <c r="I268" i="2"/>
  <c r="I271" i="2"/>
  <c r="I275" i="2"/>
  <c r="I277" i="2"/>
  <c r="I279" i="2"/>
  <c r="I283" i="2"/>
  <c r="I287" i="2"/>
  <c r="I292" i="2"/>
  <c r="I293" i="2"/>
  <c r="I295" i="2"/>
  <c r="I299" i="2"/>
  <c r="I300" i="2"/>
  <c r="I303" i="2"/>
  <c r="I307" i="2"/>
  <c r="I311" i="2"/>
  <c r="I312" i="2"/>
  <c r="I315" i="2"/>
  <c r="I319" i="2"/>
  <c r="I327" i="2"/>
  <c r="I331" i="2"/>
  <c r="I335" i="2"/>
  <c r="I339" i="2"/>
  <c r="I341" i="2"/>
  <c r="I343" i="2"/>
  <c r="I347" i="2"/>
  <c r="I351" i="2"/>
  <c r="I359" i="2"/>
  <c r="I363" i="2"/>
  <c r="I367" i="2"/>
  <c r="I371" i="2"/>
  <c r="I373" i="2"/>
  <c r="I375" i="2"/>
  <c r="I379" i="2"/>
  <c r="I383" i="2"/>
  <c r="I387" i="2"/>
  <c r="I391" i="2"/>
  <c r="I395" i="2"/>
  <c r="I399" i="2"/>
  <c r="I403" i="2"/>
  <c r="I405" i="2"/>
  <c r="I407" i="2"/>
  <c r="I411" i="2"/>
  <c r="I415" i="2"/>
  <c r="I419" i="2"/>
  <c r="I423" i="2"/>
  <c r="I424" i="2"/>
  <c r="I427" i="2"/>
  <c r="I431" i="2"/>
  <c r="I435" i="2"/>
  <c r="I437" i="2"/>
  <c r="I439" i="2"/>
  <c r="I443" i="2"/>
  <c r="I447" i="2"/>
  <c r="I451" i="2"/>
  <c r="I455" i="2"/>
  <c r="I456" i="2"/>
  <c r="I459" i="2"/>
  <c r="I463" i="2"/>
  <c r="I467" i="2"/>
  <c r="I468" i="2"/>
  <c r="I469" i="2"/>
  <c r="I471" i="2"/>
  <c r="I475" i="2"/>
  <c r="I476" i="2"/>
  <c r="I479" i="2"/>
  <c r="I483" i="2"/>
  <c r="I487" i="2"/>
  <c r="I491" i="2"/>
  <c r="I495" i="2"/>
  <c r="I496" i="2"/>
  <c r="I499" i="2"/>
  <c r="I501" i="2"/>
  <c r="I503" i="2"/>
  <c r="I507" i="2"/>
  <c r="I511" i="2"/>
  <c r="I515" i="2"/>
  <c r="I519" i="2"/>
  <c r="I523" i="2"/>
  <c r="I527" i="2"/>
  <c r="I531" i="2"/>
  <c r="I533" i="2"/>
  <c r="I535" i="2"/>
  <c r="I539" i="2"/>
  <c r="I543" i="2"/>
  <c r="I547" i="2"/>
  <c r="I548" i="2"/>
  <c r="I551" i="2"/>
  <c r="I555" i="2"/>
  <c r="I559" i="2"/>
  <c r="I563" i="2"/>
  <c r="I565" i="2"/>
  <c r="I567" i="2"/>
  <c r="I571" i="2"/>
  <c r="I575" i="2"/>
  <c r="I579" i="2"/>
  <c r="I580" i="2"/>
  <c r="I583" i="2"/>
  <c r="I587" i="2"/>
  <c r="I591" i="2"/>
  <c r="I595" i="2"/>
  <c r="I597" i="2"/>
  <c r="I599" i="2"/>
  <c r="I603" i="2"/>
  <c r="I607" i="2"/>
  <c r="I611" i="2"/>
  <c r="I615" i="2"/>
  <c r="I619" i="2"/>
  <c r="I623" i="2"/>
  <c r="I627" i="2"/>
  <c r="I629" i="2"/>
  <c r="I631" i="2"/>
  <c r="I635" i="2"/>
  <c r="I639" i="2"/>
  <c r="I643" i="2"/>
  <c r="I647" i="2"/>
  <c r="I651" i="2"/>
  <c r="I655" i="2"/>
  <c r="I659" i="2"/>
  <c r="I661" i="2"/>
  <c r="I663" i="2"/>
  <c r="I667" i="2"/>
  <c r="I671" i="2"/>
  <c r="I675" i="2"/>
  <c r="I679" i="2"/>
  <c r="I680" i="2"/>
  <c r="I683" i="2"/>
  <c r="I687" i="2"/>
  <c r="I691" i="2"/>
  <c r="I693" i="2"/>
  <c r="I695" i="2"/>
  <c r="I699" i="2"/>
  <c r="I703" i="2"/>
  <c r="I707" i="2"/>
  <c r="I711" i="2"/>
  <c r="I712" i="2"/>
  <c r="I715" i="2"/>
  <c r="I719" i="2"/>
  <c r="I723" i="2"/>
  <c r="I725" i="2"/>
  <c r="I727" i="2"/>
  <c r="I731" i="2"/>
  <c r="I735" i="2"/>
  <c r="I739" i="2"/>
  <c r="I743" i="2"/>
  <c r="I747" i="2"/>
  <c r="I751" i="2"/>
  <c r="I752" i="2"/>
  <c r="I755" i="2"/>
  <c r="I759" i="2"/>
  <c r="I763" i="2"/>
  <c r="I767" i="2"/>
  <c r="O74" i="1"/>
  <c r="O73" i="1"/>
  <c r="O70" i="1"/>
  <c r="O69" i="1"/>
  <c r="L69" i="1"/>
  <c r="O56" i="1"/>
  <c r="I775" i="2"/>
  <c r="I779" i="2"/>
  <c r="I787" i="2"/>
  <c r="I791" i="2"/>
  <c r="I795" i="2"/>
  <c r="I799" i="2"/>
  <c r="I803" i="2"/>
  <c r="I807" i="2"/>
  <c r="I811" i="2"/>
  <c r="I815" i="2"/>
  <c r="I819" i="2"/>
  <c r="I823" i="2"/>
  <c r="I827" i="2"/>
  <c r="I831" i="2"/>
  <c r="I835" i="2"/>
  <c r="I839" i="2"/>
  <c r="I843" i="2"/>
  <c r="I847" i="2"/>
  <c r="I851" i="2"/>
  <c r="I855" i="2"/>
  <c r="I859" i="2"/>
  <c r="I861" i="2"/>
  <c r="I863" i="2"/>
  <c r="I867" i="2"/>
  <c r="I871" i="2"/>
  <c r="I875" i="2"/>
  <c r="I879" i="2"/>
  <c r="I883" i="2"/>
  <c r="I887" i="2"/>
  <c r="I891" i="2"/>
  <c r="I893" i="2"/>
  <c r="I895" i="2"/>
  <c r="I899" i="2"/>
  <c r="I903" i="2"/>
  <c r="I907" i="2"/>
  <c r="I911" i="2"/>
  <c r="I915" i="2"/>
  <c r="I919" i="2"/>
  <c r="I923" i="2"/>
  <c r="I924" i="2"/>
  <c r="I927" i="2"/>
  <c r="I931" i="2"/>
  <c r="I935" i="2"/>
  <c r="I939" i="2"/>
  <c r="I943" i="2"/>
  <c r="I947" i="2"/>
  <c r="I951" i="2"/>
  <c r="I955" i="2"/>
  <c r="I959" i="2"/>
  <c r="I963" i="2"/>
  <c r="I967" i="2"/>
  <c r="I971" i="2"/>
  <c r="I975" i="2"/>
  <c r="I979" i="2"/>
  <c r="I983" i="2"/>
  <c r="I987" i="2"/>
  <c r="I988" i="2"/>
  <c r="I991" i="2"/>
  <c r="I995" i="2"/>
  <c r="I999" i="2"/>
  <c r="I1003" i="2"/>
  <c r="I1004" i="2"/>
  <c r="N66" i="1"/>
  <c r="N64" i="1"/>
  <c r="O51" i="1"/>
  <c r="O50" i="1"/>
  <c r="O49" i="1"/>
  <c r="M47" i="1"/>
  <c r="N47" i="1" s="1"/>
  <c r="N46" i="1"/>
  <c r="O44" i="1"/>
  <c r="N44" i="1"/>
  <c r="O41" i="1"/>
  <c r="O42" i="1"/>
  <c r="M42" i="1"/>
  <c r="L33" i="1"/>
  <c r="O31" i="1"/>
  <c r="O30" i="1"/>
  <c r="O29" i="1"/>
  <c r="O28" i="1"/>
  <c r="O19" i="1"/>
  <c r="N15" i="1" l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7" i="1"/>
  <c r="N68" i="1"/>
  <c r="N69" i="1"/>
  <c r="N70" i="1"/>
  <c r="N71" i="1"/>
  <c r="N72" i="1"/>
  <c r="N73" i="1"/>
  <c r="N74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3" i="1" l="1"/>
  <c r="N14" i="1"/>
  <c r="N12" i="1"/>
  <c r="N11" i="1"/>
  <c r="N10" i="1"/>
  <c r="N6" i="1" l="1"/>
  <c r="N7" i="1"/>
  <c r="N8" i="1" l="1"/>
  <c r="N9" i="1"/>
  <c r="N16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Arosa Rodriguez</author>
    <author>Javiera Rivera</author>
  </authors>
  <commentList>
    <comment ref="Q5" authorId="0" shapeId="0" xr:uid="{468AA13D-B34A-4859-810F-9F4F3083C81F}">
      <text>
        <r>
          <rPr>
            <b/>
            <sz val="9"/>
            <color indexed="81"/>
            <rFont val="Tahoma"/>
            <family val="2"/>
          </rPr>
          <t>Diego Arosa Rodriguez:</t>
        </r>
        <r>
          <rPr>
            <sz val="9"/>
            <color indexed="81"/>
            <rFont val="Tahoma"/>
            <family val="2"/>
          </rPr>
          <t xml:space="preserve">
Valoración global del curso</t>
        </r>
      </text>
    </comment>
    <comment ref="E19" authorId="1" shapeId="0" xr:uid="{D0A24F09-8548-4AAB-82FD-762353EB4937}">
      <text>
        <r>
          <rPr>
            <b/>
            <sz val="9"/>
            <color indexed="81"/>
            <rFont val="Tahoma"/>
            <family val="2"/>
          </rPr>
          <t>Javiera Rivera:</t>
        </r>
        <r>
          <rPr>
            <sz val="9"/>
            <color indexed="81"/>
            <rFont val="Tahoma"/>
            <family val="2"/>
          </rPr>
          <t xml:space="preserve">
Fecha real de inicio: 09-04-2024. Las horas de abril no quedaron reportadas. La fecha de término es 04-07, pero pondré las horas en promedio mensual. </t>
        </r>
      </text>
    </comment>
    <comment ref="E20" authorId="1" shapeId="0" xr:uid="{4074CCD5-F7F0-4677-8455-8C816734FB18}">
      <text>
        <r>
          <rPr>
            <b/>
            <sz val="9"/>
            <color indexed="81"/>
            <rFont val="Tahoma"/>
            <family val="2"/>
          </rPr>
          <t>Javiera Rivera:</t>
        </r>
        <r>
          <rPr>
            <sz val="9"/>
            <color indexed="81"/>
            <rFont val="Tahoma"/>
            <family val="2"/>
          </rPr>
          <t xml:space="preserve">
Fecha real de inicio: 09-04-2024. Las horas de abril no quedaron reportadas. La fecha de término es 04-07, pero pondré las horas en promedio mensual. </t>
        </r>
      </text>
    </comment>
    <comment ref="K42" authorId="1" shapeId="0" xr:uid="{3115B7DD-FCAB-410A-A394-8989C54AA5E5}">
      <text>
        <r>
          <rPr>
            <b/>
            <sz val="9"/>
            <color indexed="81"/>
            <rFont val="Tahoma"/>
            <family val="2"/>
          </rPr>
          <t>Javiera Rivera:</t>
        </r>
        <r>
          <rPr>
            <sz val="9"/>
            <color indexed="81"/>
            <rFont val="Tahoma"/>
            <family val="2"/>
          </rPr>
          <t xml:space="preserve">
30 participantes, 12 horas curso total (mes). Se saca porcentaje de avance proporcional de agosto (21%)</t>
        </r>
      </text>
    </comment>
    <comment ref="E44" authorId="1" shapeId="0" xr:uid="{347AE5C7-9489-42AC-B49B-4FA20BFA0ACD}">
      <text>
        <r>
          <rPr>
            <b/>
            <sz val="9"/>
            <color indexed="81"/>
            <rFont val="Tahoma"/>
            <family val="2"/>
          </rPr>
          <t>Javiera Rivera:</t>
        </r>
        <r>
          <rPr>
            <sz val="9"/>
            <color indexed="81"/>
            <rFont val="Tahoma"/>
            <family val="2"/>
          </rPr>
          <t xml:space="preserve">
Fecha real de inicio: 09-04-2024. Las horas de abril no quedaron reportadas. La fecha de término es 04-07, pero pondré las horas en promedio mensual. </t>
        </r>
      </text>
    </comment>
    <comment ref="K47" authorId="1" shapeId="0" xr:uid="{D5BC9BB9-5F7A-4964-B8B5-7256753E208F}">
      <text>
        <r>
          <rPr>
            <b/>
            <sz val="9"/>
            <color indexed="81"/>
            <rFont val="Tahoma"/>
            <family val="2"/>
          </rPr>
          <t>Javiera Rivera:</t>
        </r>
        <r>
          <rPr>
            <sz val="9"/>
            <color indexed="81"/>
            <rFont val="Tahoma"/>
            <family val="2"/>
          </rPr>
          <t xml:space="preserve">
30 participantes, 12 horas curso total (mes). Se saca porcentaje de avance proporcional de agosto (21%)</t>
        </r>
      </text>
    </comment>
  </commentList>
</comments>
</file>

<file path=xl/sharedStrings.xml><?xml version="1.0" encoding="utf-8"?>
<sst xmlns="http://schemas.openxmlformats.org/spreadsheetml/2006/main" count="5124" uniqueCount="2993">
  <si>
    <t>Mes</t>
  </si>
  <si>
    <t>Lugar de impartición</t>
  </si>
  <si>
    <t>Fecha inicio</t>
  </si>
  <si>
    <t>Fecha fin</t>
  </si>
  <si>
    <t>Objetivo / Area temática</t>
  </si>
  <si>
    <t>Externo / Interno</t>
  </si>
  <si>
    <t>Formador / Proveedor</t>
  </si>
  <si>
    <t>Asistentes</t>
  </si>
  <si>
    <t>Horas</t>
  </si>
  <si>
    <t>Valoracion del formador</t>
  </si>
  <si>
    <t>Indice de satisfacciOn</t>
  </si>
  <si>
    <t>NPS</t>
  </si>
  <si>
    <t>PRESENCIAL</t>
  </si>
  <si>
    <t>INTERNO</t>
  </si>
  <si>
    <t>Título capacitación</t>
  </si>
  <si>
    <t>Tipo de curso</t>
  </si>
  <si>
    <t>Gerencia</t>
  </si>
  <si>
    <t>Horas totales</t>
  </si>
  <si>
    <t>NOMBRE</t>
  </si>
  <si>
    <t>APELLIDOS</t>
  </si>
  <si>
    <t>CORREO</t>
  </si>
  <si>
    <t>NOMBRE CURSO</t>
  </si>
  <si>
    <t>Coste total</t>
  </si>
  <si>
    <t>Presencial, Online o Virtual</t>
  </si>
  <si>
    <t>Área temática</t>
  </si>
  <si>
    <t>Negocio, Cliente, Cultura, Digital, Liderazgo</t>
  </si>
  <si>
    <t>Perú, Croacia, Copiapó, Arica</t>
  </si>
  <si>
    <t>En euros</t>
  </si>
  <si>
    <t>(Igual que área temática)</t>
  </si>
  <si>
    <t>ARICA</t>
  </si>
  <si>
    <t>CLIENTE</t>
  </si>
  <si>
    <t xml:space="preserve"> CELINA</t>
  </si>
  <si>
    <t xml:space="preserve"> CARLA ISABEL</t>
  </si>
  <si>
    <t xml:space="preserve"> YUSNEYLA TEREZA</t>
  </si>
  <si>
    <t xml:space="preserve"> GUSTAVO ALONSO</t>
  </si>
  <si>
    <t>N°</t>
  </si>
  <si>
    <t xml:space="preserve"> PAOLA MAGDALENA</t>
  </si>
  <si>
    <t xml:space="preserve"> NICOLE ANDREA</t>
  </si>
  <si>
    <t xml:space="preserve"> VICTOR ALEJANDRO</t>
  </si>
  <si>
    <t xml:space="preserve"> DIEGO ENRIQUE</t>
  </si>
  <si>
    <t xml:space="preserve"> NICOLAS YENARO</t>
  </si>
  <si>
    <t xml:space="preserve"> GUILLERMO IGNACIO</t>
  </si>
  <si>
    <t xml:space="preserve"> VIVIANA JEANNETTE</t>
  </si>
  <si>
    <t xml:space="preserve"> DIEGO ALEXIS</t>
  </si>
  <si>
    <t>PAOLA.CORTES@CL.LUCKIA.COM</t>
  </si>
  <si>
    <t>NURRUTIA@ANTAYHOTELES.CL</t>
  </si>
  <si>
    <t>RBELTRAN@ANTAYHOTELES.CL</t>
  </si>
  <si>
    <t>MARZO</t>
  </si>
  <si>
    <t>BARRASCH</t>
  </si>
  <si>
    <t>JULIO</t>
  </si>
  <si>
    <t>GHIDALGO@CL.LUCKIA.COM</t>
  </si>
  <si>
    <t>NNOVOA@ANTAYHOTELES.CL</t>
  </si>
  <si>
    <t>JBARRASCH@ANTAYHOTELES.CL</t>
  </si>
  <si>
    <t>JNOVOA@CL.LUCKIA.COM</t>
  </si>
  <si>
    <t>FRANCISCOJAVIER.TELLO@ANTAYHOTELES.CL</t>
  </si>
  <si>
    <t>MVILDOSO@ANTAYHOTELES.CL</t>
  </si>
  <si>
    <t>NICOLAS.TELLO@ANTAYHOTELES.CL</t>
  </si>
  <si>
    <t>EVCASANOBA@CL.LUCKIA.COM</t>
  </si>
  <si>
    <t>DBASTIDAS@ANTAYHOTELES.CL</t>
  </si>
  <si>
    <t>ERODAS@ANTAYHOTELES.CL</t>
  </si>
  <si>
    <t>FRRIOS@ANTAYHOTELES.CL</t>
  </si>
  <si>
    <t>MGALLEGUILLO@ANTAYHOTELES.CL</t>
  </si>
  <si>
    <t>ABRAVO@ANTAYHOTELES.CL</t>
  </si>
  <si>
    <t>KCEA@ANTAYHOTELES.CL</t>
  </si>
  <si>
    <t>EHENRIQUEZ@CL.LUCKIA.COM</t>
  </si>
  <si>
    <t>CSOTO@ANTAYHOTELES.CL</t>
  </si>
  <si>
    <t>MAYO</t>
  </si>
  <si>
    <t>JJVILLALOBOS@ANTAYHOTELES.CL</t>
  </si>
  <si>
    <t>AANTEZANA@ANTAYHOTELES.CL</t>
  </si>
  <si>
    <t>CMURUA@ANTAYHOTELES.CL</t>
  </si>
  <si>
    <t>CGOJEDA@ANTAYHOTELES.CL</t>
  </si>
  <si>
    <t>JMVIZA@ANTAYHOTELES.CL</t>
  </si>
  <si>
    <t>YCASTELLANO@ANTAYHOTELES.CL</t>
  </si>
  <si>
    <t>GOMEZ OJEDA</t>
  </si>
  <si>
    <t xml:space="preserve"> JOHANN</t>
  </si>
  <si>
    <t>MIRANDA VIZA</t>
  </si>
  <si>
    <t>CASTELLANO PERDOMO</t>
  </si>
  <si>
    <t>MHUERTA@ANTAYHOTELES.CL</t>
  </si>
  <si>
    <t>YPRUIZ@ANTAYHOTELES.CL</t>
  </si>
  <si>
    <t>AVTORRICO@ANTAYHOTELES.CL</t>
  </si>
  <si>
    <t xml:space="preserve"> SEBASTIAN EDUARDO</t>
  </si>
  <si>
    <t>MURUA GARCIA</t>
  </si>
  <si>
    <t>PEREZ RUIZ</t>
  </si>
  <si>
    <t>ASTUDILLO MUÑOZ</t>
  </si>
  <si>
    <t xml:space="preserve"> ANAHI PAZ</t>
  </si>
  <si>
    <t>AASTUDILLO@ANTAYHOTELES.CL</t>
  </si>
  <si>
    <t xml:space="preserve"> YEMILFER SHEREZADE</t>
  </si>
  <si>
    <t>HUERTA JERALDO</t>
  </si>
  <si>
    <t xml:space="preserve"> MANUEL JESUS</t>
  </si>
  <si>
    <t>MERCADO CAVIERES</t>
  </si>
  <si>
    <t xml:space="preserve"> LUIS SEBASTIAN</t>
  </si>
  <si>
    <t>LMCAVIERES@ANTAYHOTELES.CL</t>
  </si>
  <si>
    <t>CREBOLLEDO@ANTAYHOTELES.CL</t>
  </si>
  <si>
    <t>SESSAREGO BARRIOS</t>
  </si>
  <si>
    <t>GSESSAREGO@ANTAYHOTELES.CL</t>
  </si>
  <si>
    <t>VALDOVINOS CODERCH</t>
  </si>
  <si>
    <t xml:space="preserve"> LUCA GUSTAVO</t>
  </si>
  <si>
    <t>LVALDOVINOS@ANTAYHOTELES.CL</t>
  </si>
  <si>
    <t>ACUÑA PAEZ</t>
  </si>
  <si>
    <t xml:space="preserve"> MITZY FERNANDA</t>
  </si>
  <si>
    <t>MACUNA@ANTAYHOTELES.CL</t>
  </si>
  <si>
    <t>ALID ALID</t>
  </si>
  <si>
    <t>DALID@ANTAYHOTELES.CL</t>
  </si>
  <si>
    <t>ALVAREZ TELLO</t>
  </si>
  <si>
    <t xml:space="preserve"> CAMILA</t>
  </si>
  <si>
    <t>CATELLO@ANTAYHOTELES.CL</t>
  </si>
  <si>
    <t>CACERES GAJARDO</t>
  </si>
  <si>
    <t xml:space="preserve"> EMILIO SEBASTIAN</t>
  </si>
  <si>
    <t>ECACERES@CL.LUCKIA.COM</t>
  </si>
  <si>
    <t>CALDERON LAZO</t>
  </si>
  <si>
    <t xml:space="preserve"> NICOLE STEPHANIE</t>
  </si>
  <si>
    <t>NCALDERON@CL.LUCKIA.COM</t>
  </si>
  <si>
    <t>CARRASCO MEDEL</t>
  </si>
  <si>
    <t xml:space="preserve"> CLAUDIO ALBERTO</t>
  </si>
  <si>
    <t>CCARRASCO@CL.LUCKIA.COM</t>
  </si>
  <si>
    <t>CASTILLO PEREZ</t>
  </si>
  <si>
    <t xml:space="preserve"> WILSON DENNIS</t>
  </si>
  <si>
    <t>WCASTILLO@CL.LUCKIA.COM</t>
  </si>
  <si>
    <t>MEJIAS MENESES</t>
  </si>
  <si>
    <t>NMEJIAS@CL.LUCKIA.COM</t>
  </si>
  <si>
    <t>MIRANDA QUISPE</t>
  </si>
  <si>
    <t xml:space="preserve"> DANIEL NEHEMIAS</t>
  </si>
  <si>
    <t>DMIRANDA@CL.LUCKIA.COM</t>
  </si>
  <si>
    <t>NAHUEL HUENUPI</t>
  </si>
  <si>
    <t xml:space="preserve"> FELIPE</t>
  </si>
  <si>
    <t>FNAHUEL@ANTAYHOTELES.CL</t>
  </si>
  <si>
    <t>NOVOA ROJO</t>
  </si>
  <si>
    <t xml:space="preserve"> JULIO</t>
  </si>
  <si>
    <t>NORMANALEX.PINO@CL.LUCKIA.COM</t>
  </si>
  <si>
    <t>ROJAS FERNANDEZ</t>
  </si>
  <si>
    <t xml:space="preserve"> MARIA JOSE</t>
  </si>
  <si>
    <t>MARIAJOSE.ROJAS@ANTAYHOTELES.CL</t>
  </si>
  <si>
    <t>SAJAMA CRUZ</t>
  </si>
  <si>
    <t>DSAJAMA@CL.LUCKIA.COM</t>
  </si>
  <si>
    <t xml:space="preserve"> BETZABET ALEJANDRA</t>
  </si>
  <si>
    <t xml:space="preserve"> MARIO ALEXANDER</t>
  </si>
  <si>
    <t xml:space="preserve"> LEONARDO ALEXIS</t>
  </si>
  <si>
    <t xml:space="preserve"> JOSE EDUARDO</t>
  </si>
  <si>
    <t xml:space="preserve"> EMMERSON</t>
  </si>
  <si>
    <t xml:space="preserve"> FRANKIE IVAN</t>
  </si>
  <si>
    <t xml:space="preserve"> JUAN ALBERTO</t>
  </si>
  <si>
    <t xml:space="preserve"> JUAN ANTONIO</t>
  </si>
  <si>
    <t xml:space="preserve"> PRICILA FERNANDA</t>
  </si>
  <si>
    <t xml:space="preserve"> ROMINA MADDELEINE</t>
  </si>
  <si>
    <t xml:space="preserve"> CARLOS GUSTAVO</t>
  </si>
  <si>
    <t>CATALAN VEGA</t>
  </si>
  <si>
    <t>CISTERNAS YANAPA</t>
  </si>
  <si>
    <t>FUNEZ SEPULVEDA</t>
  </si>
  <si>
    <t>GALVEZ IBARRA</t>
  </si>
  <si>
    <t>GARCIA URRUTIA</t>
  </si>
  <si>
    <t>GATICA ELIAS</t>
  </si>
  <si>
    <t>MENDEZ RIVERA</t>
  </si>
  <si>
    <t>PALACIOS PEÑA</t>
  </si>
  <si>
    <t>RAMIREZ ANDAUR</t>
  </si>
  <si>
    <t>RAMOS MARQUEZ</t>
  </si>
  <si>
    <t>SALAS VEGA</t>
  </si>
  <si>
    <t>BETZABETALEJANDRA.CARRENO@ANTAYHOTELES.CL</t>
  </si>
  <si>
    <t>MARIOALEXANDER.CATALAN@CL.LUCKIA.COM</t>
  </si>
  <si>
    <t>LCISTERNAS@CL.LUCKIA.COM</t>
  </si>
  <si>
    <t>JFUNEZ@CL.LUCKIA.COM</t>
  </si>
  <si>
    <t>EGALVEZ@CL.LUCKIA.COM</t>
  </si>
  <si>
    <t>FGURRUTIA@EGASACHILE.COM</t>
  </si>
  <si>
    <t>VICTORALEJANDRO.GATICA@CL.LUCKIA.COM</t>
  </si>
  <si>
    <t>KHERRERA@CL.LUCKIA.COM</t>
  </si>
  <si>
    <t>JMRIVERA@CL.LUCKIA.COM</t>
  </si>
  <si>
    <t>JPALACIOS@CL.LUCKIA.COM</t>
  </si>
  <si>
    <t>PRICILAFERNANDA.RAMIREZ@ANTAYHOTELES.CL</t>
  </si>
  <si>
    <t>RRMARQUEZ@CL.LUCKIA.COM</t>
  </si>
  <si>
    <t>CSALAS@EGASACHILE.COM</t>
  </si>
  <si>
    <t>MANUELALEJANDRO.SOTOMAYOR@ANTAYHOTELES.CL</t>
  </si>
  <si>
    <t xml:space="preserve"> KARINA PATRICIA</t>
  </si>
  <si>
    <t xml:space="preserve"> VANIA ORIELE</t>
  </si>
  <si>
    <t xml:space="preserve"> STEFANO</t>
  </si>
  <si>
    <t xml:space="preserve"> NICOLAS</t>
  </si>
  <si>
    <t xml:space="preserve"> ANAHI GRACIELA</t>
  </si>
  <si>
    <t>FLORES MENDOZA</t>
  </si>
  <si>
    <t>GOMEZ VEGA</t>
  </si>
  <si>
    <t>PULS</t>
  </si>
  <si>
    <t>SANTIS TRIVIÑOS</t>
  </si>
  <si>
    <t>TELLO BARREAU</t>
  </si>
  <si>
    <t>VENTURA AJAYE</t>
  </si>
  <si>
    <t>KFMENDOZA@ANTAYHOTELES.CL</t>
  </si>
  <si>
    <t>VGOMEZ@ANTAYHOTELES.CL</t>
  </si>
  <si>
    <t>SPULS@ANTAYHOTELES.CL</t>
  </si>
  <si>
    <t>NSANTIS@ANTAYHOTELES.CL</t>
  </si>
  <si>
    <t>AVAJAYE@ANTAYHOTELES.CL</t>
  </si>
  <si>
    <t xml:space="preserve"> SCARLETT ANDREA</t>
  </si>
  <si>
    <t>DIAZ FUENTES</t>
  </si>
  <si>
    <t>SDFUENTES@ANTAYHOTELES.CL</t>
  </si>
  <si>
    <t>JUNIO</t>
  </si>
  <si>
    <t>NºEMPLEADO</t>
  </si>
  <si>
    <t>POLATE@ANTAYHOTELES.CL</t>
  </si>
  <si>
    <t>MMMUNOZ@ANTAYHOTELES.CL</t>
  </si>
  <si>
    <t>TARAYA@ANTAYHOTELES.CL</t>
  </si>
  <si>
    <t>IBELLET@CL.LUCKIA.COM</t>
  </si>
  <si>
    <t>FNAVARRETE@ANTAYHOTELES.CL</t>
  </si>
  <si>
    <t>PCVARGAS@ANTAYHOTELES.CL</t>
  </si>
  <si>
    <t>AGOSTO</t>
  </si>
  <si>
    <t>ASOLIS@ANTAYHOTELES.CL</t>
  </si>
  <si>
    <t>EDGARDO.FLORES@CL.LUCKIA.COM</t>
  </si>
  <si>
    <t>RAJORQUERA@ANTAYHOTELES.CL</t>
  </si>
  <si>
    <t>KAROS@ANTAYHOTELES.CL</t>
  </si>
  <si>
    <t>VAITIAREFERNANDA.FUENTES@CL.LUCKIA.COM</t>
  </si>
  <si>
    <t>CCONTRERAS@ANTAYHOTELES.CL</t>
  </si>
  <si>
    <t>ARCALLEJAS@ANTAYHOTELES.CL</t>
  </si>
  <si>
    <t>CPMONARDES@ANTAYHOTELES.CL</t>
  </si>
  <si>
    <t>CELIZALDE@ANTAYHOTELES.CL</t>
  </si>
  <si>
    <t>IMONTECINOS@ANTAYHOTELES.CL</t>
  </si>
  <si>
    <t>JMQUEZADA@ANTAYHOTELES.CL</t>
  </si>
  <si>
    <t>JAUSECHE@ANTAYHOTELES.CL</t>
  </si>
  <si>
    <t>MCRUZ@ANTAYHOTELES.CL</t>
  </si>
  <si>
    <t>PAULINAVICTORIA.DIAZ@ANTAYHOTELES.CL</t>
  </si>
  <si>
    <t>EMRIVERO@ANTAYHOTELES.CL</t>
  </si>
  <si>
    <t>GLEYTON@ANTAYHOTELES.CL</t>
  </si>
  <si>
    <t>RAYALA@ANTAYHOTELES.CL</t>
  </si>
  <si>
    <t>VVMORALES@ANTAYHOTELES.CL</t>
  </si>
  <si>
    <t>BBARILE@CL.LUCKIA.COM</t>
  </si>
  <si>
    <t>DCLAVERIE@ANTAYHOTELES.CL</t>
  </si>
  <si>
    <t>GSQUISPE@CL.LUCKIA.COM</t>
  </si>
  <si>
    <t>MLAYI@ANTAYHOTELES.CL</t>
  </si>
  <si>
    <t>MLEAL@CL.LUCKIA.COM</t>
  </si>
  <si>
    <t>NMARINO@CL.LUCKIA.COM</t>
  </si>
  <si>
    <t>AMONTECINOS@ANTAYHOTELES.CL</t>
  </si>
  <si>
    <t>CHGATICA@ANTAYHOTELES.CL</t>
  </si>
  <si>
    <t>CCONDORI@ANTAYHOTELES.CL</t>
  </si>
  <si>
    <t>GCARELLANO@ANTAYHOTELES.CL</t>
  </si>
  <si>
    <t>JCRODRIGUEZ@ANTAYHOTELES.CL</t>
  </si>
  <si>
    <t>RVALVERDE@ANTAYHOTELES.CL</t>
  </si>
  <si>
    <t>RAEDO@ANTAYHOTELES.CL</t>
  </si>
  <si>
    <t>ROLIVARES@ANTAYHOTELES.CL</t>
  </si>
  <si>
    <t>KAHUMADA@CL.LUCKIA.COM</t>
  </si>
  <si>
    <t>NALANIZ@CL.LUCKIA.COM</t>
  </si>
  <si>
    <t>JRCORTES@ANTAYHOTELES.CL</t>
  </si>
  <si>
    <t>MHERRERA@ANTAYHOTELES.CL</t>
  </si>
  <si>
    <t>MES</t>
  </si>
  <si>
    <t>20709555-9</t>
  </si>
  <si>
    <t>20705682-0</t>
  </si>
  <si>
    <t>20094052-0</t>
  </si>
  <si>
    <t>10471969-4</t>
  </si>
  <si>
    <t>21313485-K</t>
  </si>
  <si>
    <t>19494181-1</t>
  </si>
  <si>
    <t>19356863-7</t>
  </si>
  <si>
    <t>19493141-7</t>
  </si>
  <si>
    <t>23378201-7</t>
  </si>
  <si>
    <t>19148985-3</t>
  </si>
  <si>
    <t>19357338-K</t>
  </si>
  <si>
    <t>20707173-0</t>
  </si>
  <si>
    <t>17370150-0</t>
  </si>
  <si>
    <t>20708564-2</t>
  </si>
  <si>
    <t>20847597-5</t>
  </si>
  <si>
    <t>19494855-7</t>
  </si>
  <si>
    <t>20547809-4</t>
  </si>
  <si>
    <t>21289993-3</t>
  </si>
  <si>
    <t>20725216-6</t>
  </si>
  <si>
    <t>21464348-0</t>
  </si>
  <si>
    <t>19871993-5</t>
  </si>
  <si>
    <t>26545439-9</t>
  </si>
  <si>
    <t>17114920-7</t>
  </si>
  <si>
    <t>20215964-8</t>
  </si>
  <si>
    <t>19354240-9</t>
  </si>
  <si>
    <t>19471463-7</t>
  </si>
  <si>
    <t>21537532-3</t>
  </si>
  <si>
    <t>17830704-5</t>
  </si>
  <si>
    <t>17861239-5</t>
  </si>
  <si>
    <t>15006278-0</t>
  </si>
  <si>
    <t>21024317-8</t>
  </si>
  <si>
    <t>21000228-6</t>
  </si>
  <si>
    <t>19494811-5</t>
  </si>
  <si>
    <t>18313949-5</t>
  </si>
  <si>
    <t>16913750-1</t>
  </si>
  <si>
    <t>19357270-7</t>
  </si>
  <si>
    <t>19868671-9</t>
  </si>
  <si>
    <t>20996330-2</t>
  </si>
  <si>
    <t>14583512-7</t>
  </si>
  <si>
    <t>21548053-4</t>
  </si>
  <si>
    <t>20546884-6</t>
  </si>
  <si>
    <t>19147008-7</t>
  </si>
  <si>
    <t>21368969-K</t>
  </si>
  <si>
    <t>28049070-9</t>
  </si>
  <si>
    <t>15693988-9</t>
  </si>
  <si>
    <t>14419260-5</t>
  </si>
  <si>
    <t>20216368-8</t>
  </si>
  <si>
    <t>20709563-K</t>
  </si>
  <si>
    <t>19827553-0</t>
  </si>
  <si>
    <t>21195065-K</t>
  </si>
  <si>
    <t>15124373-8</t>
  </si>
  <si>
    <t>17010921-K</t>
  </si>
  <si>
    <t>16771437-4</t>
  </si>
  <si>
    <t>19179051-0</t>
  </si>
  <si>
    <t>18240030-0</t>
  </si>
  <si>
    <t>16905994-2</t>
  </si>
  <si>
    <t>19214680-1</t>
  </si>
  <si>
    <t>12054299-0</t>
  </si>
  <si>
    <t>13638970-K</t>
  </si>
  <si>
    <t>19492938-2</t>
  </si>
  <si>
    <t>19871395-3</t>
  </si>
  <si>
    <t>20217651-8</t>
  </si>
  <si>
    <t>17830947-1</t>
  </si>
  <si>
    <t>19869273-5</t>
  </si>
  <si>
    <t>25466312-3</t>
  </si>
  <si>
    <t>17557165-5</t>
  </si>
  <si>
    <t>26545977-3</t>
  </si>
  <si>
    <t>16771455-2</t>
  </si>
  <si>
    <t>13006838-3</t>
  </si>
  <si>
    <t>19357206-5</t>
  </si>
  <si>
    <t>18909013-7</t>
  </si>
  <si>
    <t>8843648-2</t>
  </si>
  <si>
    <t>18314994-6</t>
  </si>
  <si>
    <t>20537465-5</t>
  </si>
  <si>
    <t>20535348-8</t>
  </si>
  <si>
    <t>20910450-4</t>
  </si>
  <si>
    <t>17831634-6</t>
  </si>
  <si>
    <t>19734316-8</t>
  </si>
  <si>
    <t>18750459-7</t>
  </si>
  <si>
    <t>20846592-9</t>
  </si>
  <si>
    <t>20709564-8</t>
  </si>
  <si>
    <t>18599712-K</t>
  </si>
  <si>
    <t>10814521-8</t>
  </si>
  <si>
    <t>16772447-7</t>
  </si>
  <si>
    <t>21210289-K</t>
  </si>
  <si>
    <t>19147159-8</t>
  </si>
  <si>
    <t>17368044-9</t>
  </si>
  <si>
    <t>13862172-3</t>
  </si>
  <si>
    <t>19354083-K</t>
  </si>
  <si>
    <t>18943220-8</t>
  </si>
  <si>
    <t>17555017-8</t>
  </si>
  <si>
    <t>24326440-5</t>
  </si>
  <si>
    <t>20546720-3</t>
  </si>
  <si>
    <t>18240069-6</t>
  </si>
  <si>
    <t>19666245-6</t>
  </si>
  <si>
    <t>19355600-0</t>
  </si>
  <si>
    <t>19353615-8</t>
  </si>
  <si>
    <t>20767464-8</t>
  </si>
  <si>
    <t>17557519-7</t>
  </si>
  <si>
    <t>19870826-7</t>
  </si>
  <si>
    <t>21835996-5</t>
  </si>
  <si>
    <t>18616186-6</t>
  </si>
  <si>
    <t>19356682-0</t>
  </si>
  <si>
    <t>21670399-5</t>
  </si>
  <si>
    <t>18787113-1</t>
  </si>
  <si>
    <t>19492784-3</t>
  </si>
  <si>
    <t>13864410-3</t>
  </si>
  <si>
    <t>20466313-0</t>
  </si>
  <si>
    <t>10675170-6</t>
  </si>
  <si>
    <t>19768517-4</t>
  </si>
  <si>
    <t>10443648-K</t>
  </si>
  <si>
    <t>25561396-0</t>
  </si>
  <si>
    <t>16466746-4</t>
  </si>
  <si>
    <t>21581456-4</t>
  </si>
  <si>
    <t>18315264-5</t>
  </si>
  <si>
    <t>19936647-5</t>
  </si>
  <si>
    <t>19148300-6</t>
  </si>
  <si>
    <t>21350820-2</t>
  </si>
  <si>
    <t>15606847-0</t>
  </si>
  <si>
    <t>18240347-4</t>
  </si>
  <si>
    <t>18312899-K</t>
  </si>
  <si>
    <t>12927878-1</t>
  </si>
  <si>
    <t>15979249-8</t>
  </si>
  <si>
    <t>10684812-2</t>
  </si>
  <si>
    <t>21599668-9</t>
  </si>
  <si>
    <t>17772748-2</t>
  </si>
  <si>
    <t>19701430-K</t>
  </si>
  <si>
    <t>28363858-8</t>
  </si>
  <si>
    <t>21535781-3</t>
  </si>
  <si>
    <t>22538546-7</t>
  </si>
  <si>
    <t>18314196-1</t>
  </si>
  <si>
    <t>20216313-0</t>
  </si>
  <si>
    <t>21431050-3</t>
  </si>
  <si>
    <t>20994177-5</t>
  </si>
  <si>
    <t>19354020-1</t>
  </si>
  <si>
    <t>9904862-K</t>
  </si>
  <si>
    <t>16771655-5</t>
  </si>
  <si>
    <t>21501012-0</t>
  </si>
  <si>
    <t>12800524-2</t>
  </si>
  <si>
    <t>14598510-2</t>
  </si>
  <si>
    <t>18314160-0</t>
  </si>
  <si>
    <t>19868793-6</t>
  </si>
  <si>
    <t>20217037-4</t>
  </si>
  <si>
    <t>17297240-3</t>
  </si>
  <si>
    <t>18096339-1</t>
  </si>
  <si>
    <t>10290755-8</t>
  </si>
  <si>
    <t>15033182-K</t>
  </si>
  <si>
    <t>21376959-6</t>
  </si>
  <si>
    <t>17552396-0</t>
  </si>
  <si>
    <t>17965712-0</t>
  </si>
  <si>
    <t>12213637-K</t>
  </si>
  <si>
    <t>19871186-1</t>
  </si>
  <si>
    <t>15322265-7</t>
  </si>
  <si>
    <t>20218110-4</t>
  </si>
  <si>
    <t>15947418-6</t>
  </si>
  <si>
    <t>17555090-9</t>
  </si>
  <si>
    <t>13095259-3</t>
  </si>
  <si>
    <t>24672125-4</t>
  </si>
  <si>
    <t>23634086-4</t>
  </si>
  <si>
    <t>14058100-3</t>
  </si>
  <si>
    <t>19353915-7</t>
  </si>
  <si>
    <t>28260190-7</t>
  </si>
  <si>
    <t>13171955-8</t>
  </si>
  <si>
    <t>17831145-K</t>
  </si>
  <si>
    <t>19148778-8</t>
  </si>
  <si>
    <t>19493636-2</t>
  </si>
  <si>
    <t>19436032-0</t>
  </si>
  <si>
    <t>20547130-8</t>
  </si>
  <si>
    <t>20075202-3</t>
  </si>
  <si>
    <t>8720107-4</t>
  </si>
  <si>
    <t>13646152-4</t>
  </si>
  <si>
    <t>22586797-6</t>
  </si>
  <si>
    <t>23044782-9</t>
  </si>
  <si>
    <t>20547153-7</t>
  </si>
  <si>
    <t>15420609-4</t>
  </si>
  <si>
    <t>23673776-4</t>
  </si>
  <si>
    <t>19870944-1</t>
  </si>
  <si>
    <t>14160469-4</t>
  </si>
  <si>
    <t>21253859-0</t>
  </si>
  <si>
    <t>19870859-3</t>
  </si>
  <si>
    <t>17554477-1</t>
  </si>
  <si>
    <t>19768737-1</t>
  </si>
  <si>
    <t>20215960-5</t>
  </si>
  <si>
    <t>20777117-1</t>
  </si>
  <si>
    <t>17011491-4</t>
  </si>
  <si>
    <t>21728455-4</t>
  </si>
  <si>
    <t>8723352-9</t>
  </si>
  <si>
    <t>11808670-8</t>
  </si>
  <si>
    <t>20546171-K</t>
  </si>
  <si>
    <t>21091335-1</t>
  </si>
  <si>
    <t>20644772-9</t>
  </si>
  <si>
    <t>11981458-8</t>
  </si>
  <si>
    <t>17173199-2</t>
  </si>
  <si>
    <t>14105015-K</t>
  </si>
  <si>
    <t>12611137-1</t>
  </si>
  <si>
    <t>19445574-7</t>
  </si>
  <si>
    <t>19869818-0</t>
  </si>
  <si>
    <t>16384521-0</t>
  </si>
  <si>
    <t>14397662-9</t>
  </si>
  <si>
    <t>21075738-4</t>
  </si>
  <si>
    <t>20217045-5</t>
  </si>
  <si>
    <t>20785485-9</t>
  </si>
  <si>
    <t>15013361-0</t>
  </si>
  <si>
    <t>21071309-3</t>
  </si>
  <si>
    <t>20503980-5</t>
  </si>
  <si>
    <t>18315546-6</t>
  </si>
  <si>
    <t>17038422-9</t>
  </si>
  <si>
    <t>10427659-8</t>
  </si>
  <si>
    <t>20217475-2</t>
  </si>
  <si>
    <t>18869703-8</t>
  </si>
  <si>
    <t>16376880-1</t>
  </si>
  <si>
    <t>20532218-3</t>
  </si>
  <si>
    <t>15025780-8</t>
  </si>
  <si>
    <t>21245965-8</t>
  </si>
  <si>
    <t>21686794-7</t>
  </si>
  <si>
    <t>13412987-5</t>
  </si>
  <si>
    <t>19149375-3</t>
  </si>
  <si>
    <t>19356878-5</t>
  </si>
  <si>
    <t>15662947-2</t>
  </si>
  <si>
    <t>13638081-8</t>
  </si>
  <si>
    <t>19869912-8</t>
  </si>
  <si>
    <t>16771101-4</t>
  </si>
  <si>
    <t>19495715-7</t>
  </si>
  <si>
    <t>18868680-K</t>
  </si>
  <si>
    <t>27202574-6</t>
  </si>
  <si>
    <t>17997943-8</t>
  </si>
  <si>
    <t>19871028-8</t>
  </si>
  <si>
    <t>14103718-8</t>
  </si>
  <si>
    <t>9074009-1</t>
  </si>
  <si>
    <t>21541198-2</t>
  </si>
  <si>
    <t>20547120-0</t>
  </si>
  <si>
    <t>21844810-0</t>
  </si>
  <si>
    <t>20217778-6</t>
  </si>
  <si>
    <t>21157107-1</t>
  </si>
  <si>
    <t>19203310-1</t>
  </si>
  <si>
    <t>20547675-K</t>
  </si>
  <si>
    <t>18240194-3</t>
  </si>
  <si>
    <t>16469604-9</t>
  </si>
  <si>
    <t>18313693-3</t>
  </si>
  <si>
    <t>14133667-3</t>
  </si>
  <si>
    <t>10751718-9</t>
  </si>
  <si>
    <t>19871924-2</t>
  </si>
  <si>
    <t>20923181-6</t>
  </si>
  <si>
    <t>25136702-7</t>
  </si>
  <si>
    <t>20215424-7</t>
  </si>
  <si>
    <t>19869934-9</t>
  </si>
  <si>
    <t>18868848-9</t>
  </si>
  <si>
    <t>15009248-5</t>
  </si>
  <si>
    <t>19495028-4</t>
  </si>
  <si>
    <t>21265073-0</t>
  </si>
  <si>
    <t>21352696-0</t>
  </si>
  <si>
    <t>27497944-5</t>
  </si>
  <si>
    <t>19872210-3</t>
  </si>
  <si>
    <t>17831416-5</t>
  </si>
  <si>
    <t>19682429-4</t>
  </si>
  <si>
    <t>21385893-9</t>
  </si>
  <si>
    <t>19870151-3</t>
  </si>
  <si>
    <t>19354289-1</t>
  </si>
  <si>
    <t>17554941-2</t>
  </si>
  <si>
    <t>20653306-4</t>
  </si>
  <si>
    <t>16468650-7</t>
  </si>
  <si>
    <t>15910492-3</t>
  </si>
  <si>
    <t>19494175-7</t>
  </si>
  <si>
    <t>16773334-4</t>
  </si>
  <si>
    <t>21027214-3</t>
  </si>
  <si>
    <t>19870876-3</t>
  </si>
  <si>
    <t>19869739-7</t>
  </si>
  <si>
    <t>19493232-4</t>
  </si>
  <si>
    <t>19355110-6</t>
  </si>
  <si>
    <t>19046319-2</t>
  </si>
  <si>
    <t>17555384-3</t>
  </si>
  <si>
    <t>16225900-8</t>
  </si>
  <si>
    <t>15007775-3</t>
  </si>
  <si>
    <t>21931496-5</t>
  </si>
  <si>
    <t>15030738-4</t>
  </si>
  <si>
    <t>20658084-4</t>
  </si>
  <si>
    <t>19355222-6</t>
  </si>
  <si>
    <t>16332483-0</t>
  </si>
  <si>
    <t>24086796-6</t>
  </si>
  <si>
    <t>15000584-1</t>
  </si>
  <si>
    <t>19870503-9</t>
  </si>
  <si>
    <t>16225127-9</t>
  </si>
  <si>
    <t>18599764-2</t>
  </si>
  <si>
    <t>21742207-8</t>
  </si>
  <si>
    <t>19149403-2</t>
  </si>
  <si>
    <t>20939630-0</t>
  </si>
  <si>
    <t>20216031-K</t>
  </si>
  <si>
    <t>25693887-1</t>
  </si>
  <si>
    <t>21316612-3</t>
  </si>
  <si>
    <t>13862871-K</t>
  </si>
  <si>
    <t>16624015-8</t>
  </si>
  <si>
    <t>24941316-K</t>
  </si>
  <si>
    <t>19492747-9</t>
  </si>
  <si>
    <t>18207485-3</t>
  </si>
  <si>
    <t>18943347-6</t>
  </si>
  <si>
    <t>19355824-0</t>
  </si>
  <si>
    <t>19493336-3</t>
  </si>
  <si>
    <t>16772877-4</t>
  </si>
  <si>
    <t>21730824-0</t>
  </si>
  <si>
    <t>20348795-9</t>
  </si>
  <si>
    <t>102545</t>
  </si>
  <si>
    <t>103032</t>
  </si>
  <si>
    <t>102935</t>
  </si>
  <si>
    <t>102879</t>
  </si>
  <si>
    <t>103053</t>
  </si>
  <si>
    <t>103499</t>
  </si>
  <si>
    <t>101971</t>
  </si>
  <si>
    <t>102983</t>
  </si>
  <si>
    <t>103256</t>
  </si>
  <si>
    <t>100348</t>
  </si>
  <si>
    <t>102834</t>
  </si>
  <si>
    <t>101072</t>
  </si>
  <si>
    <t>102871</t>
  </si>
  <si>
    <t>102101</t>
  </si>
  <si>
    <t>102002</t>
  </si>
  <si>
    <t>102546</t>
  </si>
  <si>
    <t>102969</t>
  </si>
  <si>
    <t>100148</t>
  </si>
  <si>
    <t>101377</t>
  </si>
  <si>
    <t>102611</t>
  </si>
  <si>
    <t>103034</t>
  </si>
  <si>
    <t>103078</t>
  </si>
  <si>
    <t>102399</t>
  </si>
  <si>
    <t>102692</t>
  </si>
  <si>
    <t>102830</t>
  </si>
  <si>
    <t>103051</t>
  </si>
  <si>
    <t>103394</t>
  </si>
  <si>
    <t>102783</t>
  </si>
  <si>
    <t>101768</t>
  </si>
  <si>
    <t>102784</t>
  </si>
  <si>
    <t>102967</t>
  </si>
  <si>
    <t>101555</t>
  </si>
  <si>
    <t>102863</t>
  </si>
  <si>
    <t>102575</t>
  </si>
  <si>
    <t>103673</t>
  </si>
  <si>
    <t>102641</t>
  </si>
  <si>
    <t>102966</t>
  </si>
  <si>
    <t>103457</t>
  </si>
  <si>
    <t>101397</t>
  </si>
  <si>
    <t>101662</t>
  </si>
  <si>
    <t>101357</t>
  </si>
  <si>
    <t>102903</t>
  </si>
  <si>
    <t>102942</t>
  </si>
  <si>
    <t>101363</t>
  </si>
  <si>
    <t>103084</t>
  </si>
  <si>
    <t>102798</t>
  </si>
  <si>
    <t>103681</t>
  </si>
  <si>
    <t>102674</t>
  </si>
  <si>
    <t>103050</t>
  </si>
  <si>
    <t>101566</t>
  </si>
  <si>
    <t>103266</t>
  </si>
  <si>
    <t>102542</t>
  </si>
  <si>
    <t>101372</t>
  </si>
  <si>
    <t>102881</t>
  </si>
  <si>
    <t>102147</t>
  </si>
  <si>
    <t>102996</t>
  </si>
  <si>
    <t>102419</t>
  </si>
  <si>
    <t>102599</t>
  </si>
  <si>
    <t>102191</t>
  </si>
  <si>
    <t>101822</t>
  </si>
  <si>
    <t>103678</t>
  </si>
  <si>
    <t>101866</t>
  </si>
  <si>
    <t>101522</t>
  </si>
  <si>
    <t>103014</t>
  </si>
  <si>
    <t>101806</t>
  </si>
  <si>
    <t>102705</t>
  </si>
  <si>
    <t>102288</t>
  </si>
  <si>
    <t>102846</t>
  </si>
  <si>
    <t>102224</t>
  </si>
  <si>
    <t>101535</t>
  </si>
  <si>
    <t>102368</t>
  </si>
  <si>
    <t>103428</t>
  </si>
  <si>
    <t>102541</t>
  </si>
  <si>
    <t>101568</t>
  </si>
  <si>
    <t>103342</t>
  </si>
  <si>
    <t>103036</t>
  </si>
  <si>
    <t>101455</t>
  </si>
  <si>
    <t>102829</t>
  </si>
  <si>
    <t>102446</t>
  </si>
  <si>
    <t>102746</t>
  </si>
  <si>
    <t>102786</t>
  </si>
  <si>
    <t>101657</t>
  </si>
  <si>
    <t>103601</t>
  </si>
  <si>
    <t>102760</t>
  </si>
  <si>
    <t>102940</t>
  </si>
  <si>
    <t>102758</t>
  </si>
  <si>
    <t>102314</t>
  </si>
  <si>
    <t>102755</t>
  </si>
  <si>
    <t>102260</t>
  </si>
  <si>
    <t>102849</t>
  </si>
  <si>
    <t>102864</t>
  </si>
  <si>
    <t>102795</t>
  </si>
  <si>
    <t>101860</t>
  </si>
  <si>
    <t>102675</t>
  </si>
  <si>
    <t>103086</t>
  </si>
  <si>
    <t>102424</t>
  </si>
  <si>
    <t>102319</t>
  </si>
  <si>
    <t>102832</t>
  </si>
  <si>
    <t>101506</t>
  </si>
  <si>
    <t>102471</t>
  </si>
  <si>
    <t>101747</t>
  </si>
  <si>
    <t>102343</t>
  </si>
  <si>
    <t>102902</t>
  </si>
  <si>
    <t>103301</t>
  </si>
  <si>
    <t>101398</t>
  </si>
  <si>
    <t>103082</t>
  </si>
  <si>
    <t>102436</t>
  </si>
  <si>
    <t>102895</t>
  </si>
  <si>
    <t>102939</t>
  </si>
  <si>
    <t>103064</t>
  </si>
  <si>
    <t>101557</t>
  </si>
  <si>
    <t>102080</t>
  </si>
  <si>
    <t>103376</t>
  </si>
  <si>
    <t>102539</t>
  </si>
  <si>
    <t>102447</t>
  </si>
  <si>
    <t>103674</t>
  </si>
  <si>
    <t>101938</t>
  </si>
  <si>
    <t>103561</t>
  </si>
  <si>
    <t>101336</t>
  </si>
  <si>
    <t>103557</t>
  </si>
  <si>
    <t>101915</t>
  </si>
  <si>
    <t>102787</t>
  </si>
  <si>
    <t>103487</t>
  </si>
  <si>
    <t>102362</t>
  </si>
  <si>
    <t>102785</t>
  </si>
  <si>
    <t>102945</t>
  </si>
  <si>
    <t>103676</t>
  </si>
  <si>
    <t>102128</t>
  </si>
  <si>
    <t>101666</t>
  </si>
  <si>
    <t>102734</t>
  </si>
  <si>
    <t>103260</t>
  </si>
  <si>
    <t>102645</t>
  </si>
  <si>
    <t>102748</t>
  </si>
  <si>
    <t>101786</t>
  </si>
  <si>
    <t>102270</t>
  </si>
  <si>
    <t>101587</t>
  </si>
  <si>
    <t>101517</t>
  </si>
  <si>
    <t>102666</t>
  </si>
  <si>
    <t>103714</t>
  </si>
  <si>
    <t>100753</t>
  </si>
  <si>
    <t>101731</t>
  </si>
  <si>
    <t>103348</t>
  </si>
  <si>
    <t>102837</t>
  </si>
  <si>
    <t>102982</t>
  </si>
  <si>
    <t>101556</t>
  </si>
  <si>
    <t>103222</t>
  </si>
  <si>
    <t>103004</t>
  </si>
  <si>
    <t>102709</t>
  </si>
  <si>
    <t>101831</t>
  </si>
  <si>
    <t>101791</t>
  </si>
  <si>
    <t>101456</t>
  </si>
  <si>
    <t>103010</t>
  </si>
  <si>
    <t>102998</t>
  </si>
  <si>
    <t>101807</t>
  </si>
  <si>
    <t>103516</t>
  </si>
  <si>
    <t>102959</t>
  </si>
  <si>
    <t>103744</t>
  </si>
  <si>
    <t>103558</t>
  </si>
  <si>
    <t>101407</t>
  </si>
  <si>
    <t>102978</t>
  </si>
  <si>
    <t>102349</t>
  </si>
  <si>
    <t>101694</t>
  </si>
  <si>
    <t>102960</t>
  </si>
  <si>
    <t>101680</t>
  </si>
  <si>
    <t>102994</t>
  </si>
  <si>
    <t>102672</t>
  </si>
  <si>
    <t>102757</t>
  </si>
  <si>
    <t>102315</t>
  </si>
  <si>
    <t>101375</t>
  </si>
  <si>
    <t>103008</t>
  </si>
  <si>
    <t>102174</t>
  </si>
  <si>
    <t>102574</t>
  </si>
  <si>
    <t>102667</t>
  </si>
  <si>
    <t>102642</t>
  </si>
  <si>
    <t>101697</t>
  </si>
  <si>
    <t>102069</t>
  </si>
  <si>
    <t>102643</t>
  </si>
  <si>
    <t>103632</t>
  </si>
  <si>
    <t>102449</t>
  </si>
  <si>
    <t>102063</t>
  </si>
  <si>
    <t>103414</t>
  </si>
  <si>
    <t>103277</t>
  </si>
  <si>
    <t>101337</t>
  </si>
  <si>
    <t>101664</t>
  </si>
  <si>
    <t>102737</t>
  </si>
  <si>
    <t>103526</t>
  </si>
  <si>
    <t>103463</t>
  </si>
  <si>
    <t>103465</t>
  </si>
  <si>
    <t>102085</t>
  </si>
  <si>
    <t>102125</t>
  </si>
  <si>
    <t>102977</t>
  </si>
  <si>
    <t>100093</t>
  </si>
  <si>
    <t>102752</t>
  </si>
  <si>
    <t>101826</t>
  </si>
  <si>
    <t>102355</t>
  </si>
  <si>
    <t>101887</t>
  </si>
  <si>
    <t>100353</t>
  </si>
  <si>
    <t>103680</t>
  </si>
  <si>
    <t>103559</t>
  </si>
  <si>
    <t>102255</t>
  </si>
  <si>
    <t>103432</t>
  </si>
  <si>
    <t>102342</t>
  </si>
  <si>
    <t>102041</t>
  </si>
  <si>
    <t>101878</t>
  </si>
  <si>
    <t>103031</t>
  </si>
  <si>
    <t>103363</t>
  </si>
  <si>
    <t>103074</t>
  </si>
  <si>
    <t>103341</t>
  </si>
  <si>
    <t>102677</t>
  </si>
  <si>
    <t>102442</t>
  </si>
  <si>
    <t>102341</t>
  </si>
  <si>
    <t>102638</t>
  </si>
  <si>
    <t>103564</t>
  </si>
  <si>
    <t>101863</t>
  </si>
  <si>
    <t>103023</t>
  </si>
  <si>
    <t>102421</t>
  </si>
  <si>
    <t>100483</t>
  </si>
  <si>
    <t>103498</t>
  </si>
  <si>
    <t>103427</t>
  </si>
  <si>
    <t>102865</t>
  </si>
  <si>
    <t>102696</t>
  </si>
  <si>
    <t>101585</t>
  </si>
  <si>
    <t>103065</t>
  </si>
  <si>
    <t>102797</t>
  </si>
  <si>
    <t>103016</t>
  </si>
  <si>
    <t>102382</t>
  </si>
  <si>
    <t>103009</t>
  </si>
  <si>
    <t>102898</t>
  </si>
  <si>
    <t>102789</t>
  </si>
  <si>
    <t>102082</t>
  </si>
  <si>
    <t>102299</t>
  </si>
  <si>
    <t>103675</t>
  </si>
  <si>
    <t>101828</t>
  </si>
  <si>
    <t>102633</t>
  </si>
  <si>
    <t>101746</t>
  </si>
  <si>
    <t>103033</t>
  </si>
  <si>
    <t>100450</t>
  </si>
  <si>
    <t>103765</t>
  </si>
  <si>
    <t>102870</t>
  </si>
  <si>
    <t>101327</t>
  </si>
  <si>
    <t>103517</t>
  </si>
  <si>
    <t>102754</t>
  </si>
  <si>
    <t>102683</t>
  </si>
  <si>
    <t>101886</t>
  </si>
  <si>
    <t>103768</t>
  </si>
  <si>
    <t>101364</t>
  </si>
  <si>
    <t>102257</t>
  </si>
  <si>
    <t>101586</t>
  </si>
  <si>
    <t>101809</t>
  </si>
  <si>
    <t>101577</t>
  </si>
  <si>
    <t>102572</t>
  </si>
  <si>
    <t>103296</t>
  </si>
  <si>
    <t>102598</t>
  </si>
  <si>
    <t>102374</t>
  </si>
  <si>
    <t>101402</t>
  </si>
  <si>
    <t>101883</t>
  </si>
  <si>
    <t>102759</t>
  </si>
  <si>
    <t>102398</t>
  </si>
  <si>
    <t>101521</t>
  </si>
  <si>
    <t>103767</t>
  </si>
  <si>
    <t>103311</t>
  </si>
  <si>
    <t>103677</t>
  </si>
  <si>
    <t>103460</t>
  </si>
  <si>
    <t>102909</t>
  </si>
  <si>
    <t>100980</t>
  </si>
  <si>
    <t>103323</t>
  </si>
  <si>
    <t>102869</t>
  </si>
  <si>
    <t>101575</t>
  </si>
  <si>
    <t>103343</t>
  </si>
  <si>
    <t>103172</t>
  </si>
  <si>
    <t>102841</t>
  </si>
  <si>
    <t>103063</t>
  </si>
  <si>
    <t>101318</t>
  </si>
  <si>
    <t>102872</t>
  </si>
  <si>
    <t>103560</t>
  </si>
  <si>
    <t>101403</t>
  </si>
  <si>
    <t>102803</t>
  </si>
  <si>
    <t>102384</t>
  </si>
  <si>
    <t>101689</t>
  </si>
  <si>
    <t>101320</t>
  </si>
  <si>
    <t>102833</t>
  </si>
  <si>
    <t>102965</t>
  </si>
  <si>
    <t>102753</t>
  </si>
  <si>
    <t>102741</t>
  </si>
  <si>
    <t>101978</t>
  </si>
  <si>
    <t>103259</t>
  </si>
  <si>
    <t>101691</t>
  </si>
  <si>
    <t>102827</t>
  </si>
  <si>
    <t>102839</t>
  </si>
  <si>
    <t>102893</t>
  </si>
  <si>
    <t>103743</t>
  </si>
  <si>
    <t>103468</t>
  </si>
  <si>
    <t>102628</t>
  </si>
  <si>
    <t>102704</t>
  </si>
  <si>
    <t>102744</t>
  </si>
  <si>
    <t>101582</t>
  </si>
  <si>
    <t>101326</t>
  </si>
  <si>
    <t>101379</t>
  </si>
  <si>
    <t>103563</t>
  </si>
  <si>
    <t>101825</t>
  </si>
  <si>
    <t>103464</t>
  </si>
  <si>
    <t>102693</t>
  </si>
  <si>
    <t>103318</t>
  </si>
  <si>
    <t>102624</t>
  </si>
  <si>
    <t>101382</t>
  </si>
  <si>
    <t>102144</t>
  </si>
  <si>
    <t>101331</t>
  </si>
  <si>
    <t>101643</t>
  </si>
  <si>
    <t>101892</t>
  </si>
  <si>
    <t>103321</t>
  </si>
  <si>
    <t>101528</t>
  </si>
  <si>
    <t>100156</t>
  </si>
  <si>
    <t>102897</t>
  </si>
  <si>
    <t>102941</t>
  </si>
  <si>
    <t>101536</t>
  </si>
  <si>
    <t>101563</t>
  </si>
  <si>
    <t>102352</t>
  </si>
  <si>
    <t>101104</t>
  </si>
  <si>
    <t>102019</t>
  </si>
  <si>
    <t>101690</t>
  </si>
  <si>
    <t>102350</t>
  </si>
  <si>
    <t>103679</t>
  </si>
  <si>
    <t>101385</t>
  </si>
  <si>
    <t>102459</t>
  </si>
  <si>
    <t>102600</t>
  </si>
  <si>
    <t>102468</t>
  </si>
  <si>
    <t>103013</t>
  </si>
  <si>
    <t>102121</t>
  </si>
  <si>
    <t>101821</t>
  </si>
  <si>
    <t>101934</t>
  </si>
  <si>
    <t>103766</t>
  </si>
  <si>
    <t>102690</t>
  </si>
  <si>
    <t>102766</t>
  </si>
  <si>
    <t>103068</t>
  </si>
  <si>
    <t>101682</t>
  </si>
  <si>
    <t>102695</t>
  </si>
  <si>
    <t>103346</t>
  </si>
  <si>
    <t>102866</t>
  </si>
  <si>
    <t>103136</t>
  </si>
  <si>
    <t>101333</t>
  </si>
  <si>
    <t>101672</t>
  </si>
  <si>
    <t>103291</t>
  </si>
  <si>
    <t>102292</t>
  </si>
  <si>
    <t>ABARCA NUÑEZ</t>
  </si>
  <si>
    <t>ACEVEDO ARRIAZA</t>
  </si>
  <si>
    <t xml:space="preserve"> VICTOR</t>
  </si>
  <si>
    <t>AEDO ROJAS</t>
  </si>
  <si>
    <t xml:space="preserve"> ROSA ESTER</t>
  </si>
  <si>
    <t>AGUILAR FERNANDEZ</t>
  </si>
  <si>
    <t xml:space="preserve"> VALENTINA</t>
  </si>
  <si>
    <t>AGUILAR PINTO</t>
  </si>
  <si>
    <t xml:space="preserve"> AMELIA PAZ</t>
  </si>
  <si>
    <t>AGUILERA BEYZAGA</t>
  </si>
  <si>
    <t xml:space="preserve"> FRANCISCA MICHEL</t>
  </si>
  <si>
    <t>AGUILERA FUENTEALBA</t>
  </si>
  <si>
    <t xml:space="preserve"> MAITTE CONSTANZA</t>
  </si>
  <si>
    <t>AGUIRRE ESPINOZA</t>
  </si>
  <si>
    <t xml:space="preserve"> FATIMA JUDITH</t>
  </si>
  <si>
    <t>AGUIRRE MEDINA</t>
  </si>
  <si>
    <t xml:space="preserve"> DANIEL ROMUALDO</t>
  </si>
  <si>
    <t>AHUMADA ROSSI</t>
  </si>
  <si>
    <t xml:space="preserve"> CLAUDIA CAMILA</t>
  </si>
  <si>
    <t>ALANIZ MERY</t>
  </si>
  <si>
    <t xml:space="preserve"> GUILLERMO JESUS</t>
  </si>
  <si>
    <t xml:space="preserve"> NICOLE ALEJANDRA</t>
  </si>
  <si>
    <t>ALARCON LAVIN</t>
  </si>
  <si>
    <t>ALARCON URRUTIA</t>
  </si>
  <si>
    <t xml:space="preserve"> NASHLA MICHELLE</t>
  </si>
  <si>
    <t>ALEGRE VILCA</t>
  </si>
  <si>
    <t xml:space="preserve"> IGNACIO ANDRES</t>
  </si>
  <si>
    <t>ALLENDES URBINA</t>
  </si>
  <si>
    <t xml:space="preserve"> CRISTIAN</t>
  </si>
  <si>
    <t>ALVARADO DIAZ</t>
  </si>
  <si>
    <t xml:space="preserve"> FELIPE IGNACIO</t>
  </si>
  <si>
    <t>ALVAREZ ESPEJO</t>
  </si>
  <si>
    <t>ALVAREZ USECHE</t>
  </si>
  <si>
    <t xml:space="preserve"> JENNY</t>
  </si>
  <si>
    <t>ANGULO CASTRO</t>
  </si>
  <si>
    <t xml:space="preserve"> CAMILA IGNACIA</t>
  </si>
  <si>
    <t>ANTEZANA ARAYA</t>
  </si>
  <si>
    <t xml:space="preserve"> THIARE ALEXANDRA</t>
  </si>
  <si>
    <t>ANTEZANA POBLETE</t>
  </si>
  <si>
    <t xml:space="preserve"> GONZALO EDUARDO</t>
  </si>
  <si>
    <t>APE PEREZ</t>
  </si>
  <si>
    <t xml:space="preserve"> SCARLETT PAMELA</t>
  </si>
  <si>
    <t>AQUEVEQUE POSTIGO</t>
  </si>
  <si>
    <t xml:space="preserve"> PABLO</t>
  </si>
  <si>
    <t>ARANIBAR BRIONES</t>
  </si>
  <si>
    <t xml:space="preserve"> VICTORIA MACARENA</t>
  </si>
  <si>
    <t>ARAYA BECERRA</t>
  </si>
  <si>
    <t xml:space="preserve"> TAMARA ANDREA</t>
  </si>
  <si>
    <t>ARAYA JORQUERA</t>
  </si>
  <si>
    <t xml:space="preserve"> RODRIGO ANDRES</t>
  </si>
  <si>
    <t>ARAYA NEIRA</t>
  </si>
  <si>
    <t xml:space="preserve"> DOMINIC SILENNE</t>
  </si>
  <si>
    <t>ARCE AYAVIRE</t>
  </si>
  <si>
    <t xml:space="preserve"> JOSE LUIS</t>
  </si>
  <si>
    <t>ARELLANO TARQUI</t>
  </si>
  <si>
    <t xml:space="preserve"> MARCELO ORLANDO</t>
  </si>
  <si>
    <t>ARELLANO VALENCIA</t>
  </si>
  <si>
    <t xml:space="preserve"> PAULA GISELLE</t>
  </si>
  <si>
    <t>ARIAS AEDO</t>
  </si>
  <si>
    <t xml:space="preserve"> CAROLINA ANDREA</t>
  </si>
  <si>
    <t>ARIAS BARRAZA</t>
  </si>
  <si>
    <t xml:space="preserve"> JOSE IGNACIO</t>
  </si>
  <si>
    <t>AROS CASTRO</t>
  </si>
  <si>
    <t xml:space="preserve"> KEVIN MARCELO</t>
  </si>
  <si>
    <t>ARQUEROS MUÑOZ</t>
  </si>
  <si>
    <t xml:space="preserve"> GIULIANA ISIS</t>
  </si>
  <si>
    <t>ARREDONDO ORTEGA</t>
  </si>
  <si>
    <t xml:space="preserve"> AGUSTIN ROGER</t>
  </si>
  <si>
    <t>ARRIAGADA PALTA</t>
  </si>
  <si>
    <t xml:space="preserve"> BASTIAN ANDRES</t>
  </si>
  <si>
    <t>AYALA VILLANUEVA</t>
  </si>
  <si>
    <t xml:space="preserve"> RODRIGO ESTEBAN</t>
  </si>
  <si>
    <t>BARILE MEDINA</t>
  </si>
  <si>
    <t xml:space="preserve"> BENJAMIN</t>
  </si>
  <si>
    <t xml:space="preserve"> JANA</t>
  </si>
  <si>
    <t>BASTIDAS  SOTO</t>
  </si>
  <si>
    <t xml:space="preserve"> DINA VALESKA</t>
  </si>
  <si>
    <t>BELTRAN RAMIREZ</t>
  </si>
  <si>
    <t xml:space="preserve"> FLOR MARIA ENRIQUETA</t>
  </si>
  <si>
    <t>BERISTAIN HURTADO</t>
  </si>
  <si>
    <t xml:space="preserve"> LAURA</t>
  </si>
  <si>
    <t>BRAVO HIDALGO</t>
  </si>
  <si>
    <t xml:space="preserve"> ARIEL PATRICIO</t>
  </si>
  <si>
    <t>CABEZAS MENA</t>
  </si>
  <si>
    <t xml:space="preserve"> CATALINA VICTORIA</t>
  </si>
  <si>
    <t>CACERES CALLE</t>
  </si>
  <si>
    <t xml:space="preserve"> NICOL ANAHIS</t>
  </si>
  <si>
    <t>CALLE FLORES</t>
  </si>
  <si>
    <t xml:space="preserve"> ABRAHAM LUIS</t>
  </si>
  <si>
    <t>CARDENAS LANYON</t>
  </si>
  <si>
    <t xml:space="preserve"> DIEGO ALEJANDRO</t>
  </si>
  <si>
    <t>CARMONA JAIME</t>
  </si>
  <si>
    <t xml:space="preserve"> MELANIE EUGENIA</t>
  </si>
  <si>
    <t>CARRASCO ANABALON</t>
  </si>
  <si>
    <t xml:space="preserve"> ADAN MOISES</t>
  </si>
  <si>
    <t>CARRASCO CASTILLO</t>
  </si>
  <si>
    <t>CARRASCO FUENTES</t>
  </si>
  <si>
    <t xml:space="preserve"> MAURICIO FRANCISCO</t>
  </si>
  <si>
    <t>CARRASCO YAÑEZ</t>
  </si>
  <si>
    <t xml:space="preserve"> ESTRELLA MERCEDES</t>
  </si>
  <si>
    <t>CARRASCO ZENTENO</t>
  </si>
  <si>
    <t xml:space="preserve"> CONSTANZA ALINE</t>
  </si>
  <si>
    <t>CARREÑO BASTOS</t>
  </si>
  <si>
    <t xml:space="preserve"> ALLISON ANDREA</t>
  </si>
  <si>
    <t>CARREÑO PIZARRA</t>
  </si>
  <si>
    <t>CARRILLO FOSTER</t>
  </si>
  <si>
    <t xml:space="preserve"> MATTHIAS GUILLERMO</t>
  </si>
  <si>
    <t>CARRILLO MAMANI</t>
  </si>
  <si>
    <t xml:space="preserve"> MIREYA DE LOS ANGELES</t>
  </si>
  <si>
    <t>CARVAJAL MEDINA</t>
  </si>
  <si>
    <t xml:space="preserve"> FERNANDA BEATRIZ</t>
  </si>
  <si>
    <t>CASTILLO MORALES</t>
  </si>
  <si>
    <t xml:space="preserve"> PAULINA HELGA</t>
  </si>
  <si>
    <t>CASTRO MURA</t>
  </si>
  <si>
    <t xml:space="preserve"> TAMARA ALEXANDRA</t>
  </si>
  <si>
    <t>CASTRO OROSTEGUI</t>
  </si>
  <si>
    <t xml:space="preserve"> GONZALO PATRICIO</t>
  </si>
  <si>
    <t>CATALAN ROSALES</t>
  </si>
  <si>
    <t xml:space="preserve"> BERNARDITA</t>
  </si>
  <si>
    <t>CATRIL URZUA</t>
  </si>
  <si>
    <t xml:space="preserve"> LUIS FELIPE</t>
  </si>
  <si>
    <t>CEA MUÑOZ</t>
  </si>
  <si>
    <t xml:space="preserve"> KEVIN IGNACIO</t>
  </si>
  <si>
    <t>CHACON URQUIETA</t>
  </si>
  <si>
    <t xml:space="preserve"> MAURICIO ALFREDO</t>
  </si>
  <si>
    <t>CHOQUE VISCARRA</t>
  </si>
  <si>
    <t xml:space="preserve"> CONNY ALEXANDRA</t>
  </si>
  <si>
    <t>CLAVERIE ROJAS</t>
  </si>
  <si>
    <t xml:space="preserve"> DANILO ALEXIS</t>
  </si>
  <si>
    <t>CONDORI CARVAJAL</t>
  </si>
  <si>
    <t xml:space="preserve"> CRISTOBAL HUMBERTO</t>
  </si>
  <si>
    <t>CONDORI VALENZUELA</t>
  </si>
  <si>
    <t xml:space="preserve"> ALEJANDRA CECILIA</t>
  </si>
  <si>
    <t>CONTRERAS GONZALEZ</t>
  </si>
  <si>
    <t xml:space="preserve"> CATALINA FRANCISCA</t>
  </si>
  <si>
    <t>CONTRERAS RODRIGUEZ</t>
  </si>
  <si>
    <t xml:space="preserve"> JUANA ADELINA</t>
  </si>
  <si>
    <t>CONTRERAS SOLA</t>
  </si>
  <si>
    <t xml:space="preserve"> CYNTHIA</t>
  </si>
  <si>
    <t>CONTRERAS VARGAS</t>
  </si>
  <si>
    <t xml:space="preserve"> PABLO ABRAHAM</t>
  </si>
  <si>
    <t>COPAJA MORALES</t>
  </si>
  <si>
    <t xml:space="preserve"> NOEMI MONSERRAT</t>
  </si>
  <si>
    <t>CORIA ALBORNOZ</t>
  </si>
  <si>
    <t xml:space="preserve"> KESIA RACHEL</t>
  </si>
  <si>
    <t>CORTES CORTES</t>
  </si>
  <si>
    <t>CORTES SANTIS</t>
  </si>
  <si>
    <t xml:space="preserve"> CRISTINA DENIS</t>
  </si>
  <si>
    <t>CRISPIN MONTEALEGRE</t>
  </si>
  <si>
    <t xml:space="preserve"> DANIELA YANNARA</t>
  </si>
  <si>
    <t>CRUZ NUÑEZ</t>
  </si>
  <si>
    <t xml:space="preserve"> MELISSA ISABEL</t>
  </si>
  <si>
    <t>CUELLAR MARCELINO</t>
  </si>
  <si>
    <t xml:space="preserve"> IRMA</t>
  </si>
  <si>
    <t>DAVILA VILLENA</t>
  </si>
  <si>
    <t xml:space="preserve"> ISABEL CAMILA</t>
  </si>
  <si>
    <t>DELGADO BUSTOS</t>
  </si>
  <si>
    <t xml:space="preserve"> OLGA DEL CARMEN</t>
  </si>
  <si>
    <t>DELGADO MIRANDA</t>
  </si>
  <si>
    <t xml:space="preserve"> MARIO ALFONSO</t>
  </si>
  <si>
    <t>DELPERO VIVENT</t>
  </si>
  <si>
    <t xml:space="preserve"> GIANCARLO</t>
  </si>
  <si>
    <t>DELZO ALTAMIRANO</t>
  </si>
  <si>
    <t xml:space="preserve"> LILIAN ALEXANDRA</t>
  </si>
  <si>
    <t>DIAZ LUQUE</t>
  </si>
  <si>
    <t xml:space="preserve"> PAULINA VICTORIA</t>
  </si>
  <si>
    <t>DIMITROV DE LA VEGA</t>
  </si>
  <si>
    <t xml:space="preserve"> KATHERINE NICOLE</t>
  </si>
  <si>
    <t>DURAN MUÑOZ</t>
  </si>
  <si>
    <t xml:space="preserve"> GIULIANA MARTINA</t>
  </si>
  <si>
    <t>ELIZALDE TORRES</t>
  </si>
  <si>
    <t xml:space="preserve"> CHRISTY</t>
  </si>
  <si>
    <t>ESPINOSA VALDEBENITO</t>
  </si>
  <si>
    <t>ESPINOZA URRUTIA</t>
  </si>
  <si>
    <t xml:space="preserve"> MARTINA ARANZA</t>
  </si>
  <si>
    <t>FERNANDEZ GONZALEZ</t>
  </si>
  <si>
    <t xml:space="preserve"> LORETO ANDREA</t>
  </si>
  <si>
    <t>FERNANDEZ HERNANDEZ</t>
  </si>
  <si>
    <t xml:space="preserve"> ANED ALEXSANDRA</t>
  </si>
  <si>
    <t>FLORES ALARCON</t>
  </si>
  <si>
    <t xml:space="preserve"> EDGARDO</t>
  </si>
  <si>
    <t>FLORES ARCE</t>
  </si>
  <si>
    <t xml:space="preserve"> LAURA ALMENDRA IGNACIA</t>
  </si>
  <si>
    <t>FLORES GONZALEZ</t>
  </si>
  <si>
    <t xml:space="preserve"> OGETT VIVIANA</t>
  </si>
  <si>
    <t>FLORES TOLEDO</t>
  </si>
  <si>
    <t xml:space="preserve"> MARCIA IRENE</t>
  </si>
  <si>
    <t>FLORES TORRES</t>
  </si>
  <si>
    <t xml:space="preserve"> YULIANA MARICRUZ</t>
  </si>
  <si>
    <t>FLORES VELASQUEZ</t>
  </si>
  <si>
    <t xml:space="preserve"> PATRICIA ANDREA</t>
  </si>
  <si>
    <t>FLORES VILLARROEL</t>
  </si>
  <si>
    <t xml:space="preserve"> MARIA ESTHER</t>
  </si>
  <si>
    <t>FUENTES BORQUEZ</t>
  </si>
  <si>
    <t xml:space="preserve"> VAITIARE FERNANDA</t>
  </si>
  <si>
    <t>GALLARDO MARIN</t>
  </si>
  <si>
    <t xml:space="preserve"> JUAN MANUEL</t>
  </si>
  <si>
    <t>GALLEGUILLOS COSSIO</t>
  </si>
  <si>
    <t xml:space="preserve"> MARIA PAZ</t>
  </si>
  <si>
    <t>GARCIA CHOQUE</t>
  </si>
  <si>
    <t xml:space="preserve"> NESTOR RAMIRO</t>
  </si>
  <si>
    <t>GARRIDO ANTINAO</t>
  </si>
  <si>
    <t xml:space="preserve"> BERNARDO ANTONIO</t>
  </si>
  <si>
    <t>GATICA JORQUERA</t>
  </si>
  <si>
    <t xml:space="preserve"> ALVARO</t>
  </si>
  <si>
    <t>GODOY BUGUEÑO</t>
  </si>
  <si>
    <t xml:space="preserve"> RENATO IGNACIO</t>
  </si>
  <si>
    <t>GODOY PEÑA</t>
  </si>
  <si>
    <t xml:space="preserve"> DIEGO ANTONIO</t>
  </si>
  <si>
    <t>GODOY URRA</t>
  </si>
  <si>
    <t xml:space="preserve"> JAVIERA BEATRIZ</t>
  </si>
  <si>
    <t>GOMEZ CERQUEIRO</t>
  </si>
  <si>
    <t xml:space="preserve"> FRANCISCO</t>
  </si>
  <si>
    <t>GOMEZ ESPINOZA</t>
  </si>
  <si>
    <t xml:space="preserve"> CATALINA ALEJNDRA</t>
  </si>
  <si>
    <t>GONZALEZ ALVAREZ</t>
  </si>
  <si>
    <t xml:space="preserve"> ALFREDO ANDRES</t>
  </si>
  <si>
    <t xml:space="preserve"> CHRISTIAN</t>
  </si>
  <si>
    <t>GONZALEZ CAYO</t>
  </si>
  <si>
    <t xml:space="preserve"> KATALINA ESTEFANY</t>
  </si>
  <si>
    <t>GONZALEZ CONTRERAS</t>
  </si>
  <si>
    <t xml:space="preserve"> CONSTANZA CATALINA</t>
  </si>
  <si>
    <t>GONZALEZ GONZALEZ</t>
  </si>
  <si>
    <t>GONZALEZ MEDINA</t>
  </si>
  <si>
    <t>GONZALEZ OROZCO</t>
  </si>
  <si>
    <t xml:space="preserve"> FERNANDO</t>
  </si>
  <si>
    <t>GONZALEZ RUIZ</t>
  </si>
  <si>
    <t xml:space="preserve"> MARYORY ELBA</t>
  </si>
  <si>
    <t>GONZALEZ TORRES</t>
  </si>
  <si>
    <t xml:space="preserve"> MIGUEL PATRICIO</t>
  </si>
  <si>
    <t>GUERRA SEPULVEDA</t>
  </si>
  <si>
    <t xml:space="preserve"> MACKARENA FRANCISCA</t>
  </si>
  <si>
    <t>GUTIERREZ PIZARRO</t>
  </si>
  <si>
    <t xml:space="preserve"> IVAN NICOLAS</t>
  </si>
  <si>
    <t>GUZMAN VASQUEZ</t>
  </si>
  <si>
    <t xml:space="preserve"> CLAUDIA CAROLINA</t>
  </si>
  <si>
    <t>HENRIQUEZ ARAYA</t>
  </si>
  <si>
    <t xml:space="preserve"> JOSEPH ALFREDO</t>
  </si>
  <si>
    <t>HENRIQUEZ RODRIGUEZ</t>
  </si>
  <si>
    <t xml:space="preserve"> EMANUEL SADRAC</t>
  </si>
  <si>
    <t>HERNANDEZ GATICA</t>
  </si>
  <si>
    <t xml:space="preserve"> CRISTINA DEL CARMEN</t>
  </si>
  <si>
    <t>HERNANDEZ GUERRERO</t>
  </si>
  <si>
    <t xml:space="preserve"> FRANCIS PAOLA</t>
  </si>
  <si>
    <t>HERRERA GARCIA</t>
  </si>
  <si>
    <t xml:space="preserve"> VALENTINA PALOMA</t>
  </si>
  <si>
    <t>HERRERA HINOJOSA</t>
  </si>
  <si>
    <t xml:space="preserve"> LEONEL ALEXIS</t>
  </si>
  <si>
    <t>HIDALGO UGALDE</t>
  </si>
  <si>
    <t>HUERTA VASQUEZ</t>
  </si>
  <si>
    <t xml:space="preserve"> ALLIZON DANIELA</t>
  </si>
  <si>
    <t>INOSTROZA MUÑOZ</t>
  </si>
  <si>
    <t xml:space="preserve"> FLAVIO</t>
  </si>
  <si>
    <t>JARA GARATE</t>
  </si>
  <si>
    <t xml:space="preserve"> ARELI TAMAR</t>
  </si>
  <si>
    <t>JARA SANTIBAÑEZ</t>
  </si>
  <si>
    <t xml:space="preserve"> YANARA DUBERLEY</t>
  </si>
  <si>
    <t>JIMENEZ VILLALOBOS</t>
  </si>
  <si>
    <t>JORQUERA OLIVARES</t>
  </si>
  <si>
    <t>LASSO ERASO</t>
  </si>
  <si>
    <t xml:space="preserve"> MELISA</t>
  </si>
  <si>
    <t>LAVALLE ROJAS</t>
  </si>
  <si>
    <t xml:space="preserve"> EVELYN RUDDY</t>
  </si>
  <si>
    <t>LAYI LORCA</t>
  </si>
  <si>
    <t>LEAL LEYTON</t>
  </si>
  <si>
    <t xml:space="preserve"> MICHELLE ANNETTE</t>
  </si>
  <si>
    <t xml:space="preserve"> DIEGO IGNACIO</t>
  </si>
  <si>
    <t>LEYTON RODAS</t>
  </si>
  <si>
    <t xml:space="preserve"> GUNNAR</t>
  </si>
  <si>
    <t>LIRA GONZALEZ</t>
  </si>
  <si>
    <t xml:space="preserve"> CHRISTIAN FERNANDO</t>
  </si>
  <si>
    <t>LOPEZ LORCA</t>
  </si>
  <si>
    <t xml:space="preserve"> EVELYN DENISSE</t>
  </si>
  <si>
    <t>LOPEZ NAVARRO</t>
  </si>
  <si>
    <t xml:space="preserve"> MARJORIE</t>
  </si>
  <si>
    <t>LOPEZ ROJAS</t>
  </si>
  <si>
    <t xml:space="preserve"> MELISSA IRINA</t>
  </si>
  <si>
    <t>LOPEZ VALDERRAMA</t>
  </si>
  <si>
    <t xml:space="preserve"> MARCELO ALEJANDRO</t>
  </si>
  <si>
    <t>LOPEZ VEGA</t>
  </si>
  <si>
    <t xml:space="preserve"> NICOLAS ANDRES</t>
  </si>
  <si>
    <t>MACROBIO ALFARO</t>
  </si>
  <si>
    <t xml:space="preserve"> VALENTINA ESPERANZA</t>
  </si>
  <si>
    <t>MADARIAGA ALVAREZ</t>
  </si>
  <si>
    <t xml:space="preserve"> EVA INES</t>
  </si>
  <si>
    <t xml:space="preserve"> YOHANNA PRISCILLA</t>
  </si>
  <si>
    <t>MARCA MAMANI</t>
  </si>
  <si>
    <t xml:space="preserve"> ISABEL</t>
  </si>
  <si>
    <t>MARINO ALARO</t>
  </si>
  <si>
    <t xml:space="preserve"> NARELA ALIZON JUDYT</t>
  </si>
  <si>
    <t>MARQUEZ CORTES</t>
  </si>
  <si>
    <t>MARTINEZ BARROS</t>
  </si>
  <si>
    <t xml:space="preserve"> DANNY ALEJANDRO</t>
  </si>
  <si>
    <t>MARTINEZ BENAVIDEZ</t>
  </si>
  <si>
    <t xml:space="preserve"> FABRICIO VIDAL</t>
  </si>
  <si>
    <t>MARTINEZ WASTAVINO</t>
  </si>
  <si>
    <t xml:space="preserve"> LUCIANO SEBASTIAN</t>
  </si>
  <si>
    <t>MATTA ACUÑA</t>
  </si>
  <si>
    <t xml:space="preserve"> ROSARIO DEL CARMEN</t>
  </si>
  <si>
    <t>MEDINA ALFARO</t>
  </si>
  <si>
    <t>MIRANDA CARREÑO</t>
  </si>
  <si>
    <t xml:space="preserve"> PATRICIA</t>
  </si>
  <si>
    <t>MISTRETTA MARTINEZ</t>
  </si>
  <si>
    <t xml:space="preserve"> TONY</t>
  </si>
  <si>
    <t>MOLINA MUÑOZ</t>
  </si>
  <si>
    <t xml:space="preserve"> MARIA</t>
  </si>
  <si>
    <t>MOLINA QUEZADA</t>
  </si>
  <si>
    <t xml:space="preserve"> JACQUELINE</t>
  </si>
  <si>
    <t>MOLINA SILVA</t>
  </si>
  <si>
    <t xml:space="preserve"> MAXIMILIAN EDGAR</t>
  </si>
  <si>
    <t>MONTECINOS GARRIDO</t>
  </si>
  <si>
    <t xml:space="preserve"> ISADORA ALEJANDRA</t>
  </si>
  <si>
    <t>MONTECINOS SALINAS</t>
  </si>
  <si>
    <t xml:space="preserve"> ANA MARIA</t>
  </si>
  <si>
    <t>MORA COSCIO</t>
  </si>
  <si>
    <t xml:space="preserve"> ROBERTO</t>
  </si>
  <si>
    <t>MORALES SOTOMAYOR</t>
  </si>
  <si>
    <t xml:space="preserve"> ROSARIO ANDREA</t>
  </si>
  <si>
    <t>MÜFFELER VERGARA</t>
  </si>
  <si>
    <t xml:space="preserve"> PETER HEINZ</t>
  </si>
  <si>
    <t>MUÑOZ YEVENES</t>
  </si>
  <si>
    <t xml:space="preserve"> FRANCISCA PIA</t>
  </si>
  <si>
    <t>NANJARI BARRIOS</t>
  </si>
  <si>
    <t xml:space="preserve"> JORGE JACOB</t>
  </si>
  <si>
    <t>NAVARRETE LISBOA</t>
  </si>
  <si>
    <t>NOCHES BARRAZA</t>
  </si>
  <si>
    <t xml:space="preserve"> DANIELA CAMILA</t>
  </si>
  <si>
    <t>NOCHES CARRERA</t>
  </si>
  <si>
    <t xml:space="preserve"> ANDREA</t>
  </si>
  <si>
    <t>NOVOA AGUILERA</t>
  </si>
  <si>
    <t xml:space="preserve"> NATALIA ISABEL</t>
  </si>
  <si>
    <t>OLATE VALDES</t>
  </si>
  <si>
    <t xml:space="preserve"> PATRICIO ANDRES</t>
  </si>
  <si>
    <t>OLIVARES MONTALVAN</t>
  </si>
  <si>
    <t xml:space="preserve"> ROSA BILIANA</t>
  </si>
  <si>
    <t>OLIVARES VIÑALES</t>
  </si>
  <si>
    <t xml:space="preserve"> CARLA ELENA</t>
  </si>
  <si>
    <t>OLIVEROS JULIO</t>
  </si>
  <si>
    <t xml:space="preserve"> EMPERATRIZ TERESA</t>
  </si>
  <si>
    <t>OPAZO DIAZ</t>
  </si>
  <si>
    <t xml:space="preserve"> YULISSA ANTONELLA</t>
  </si>
  <si>
    <t>ORDOÑEZ URRUTIA</t>
  </si>
  <si>
    <t xml:space="preserve"> JOHANET</t>
  </si>
  <si>
    <t>ORTIZ SEPULVEDA</t>
  </si>
  <si>
    <t xml:space="preserve"> RODEMIL JAMES</t>
  </si>
  <si>
    <t>OSORIO SEPULVEDA</t>
  </si>
  <si>
    <t xml:space="preserve"> INDIGO AMALIA</t>
  </si>
  <si>
    <t>OSSANDON ALCOTA</t>
  </si>
  <si>
    <t xml:space="preserve"> OSCAR ANDRES</t>
  </si>
  <si>
    <t>PACHECO ALDUNATE</t>
  </si>
  <si>
    <t xml:space="preserve"> IGNACIO JAVIER</t>
  </si>
  <si>
    <t>PACO PACO</t>
  </si>
  <si>
    <t xml:space="preserve"> MARCELA DEL ROSARIO</t>
  </si>
  <si>
    <t>PADILLA LAZARO</t>
  </si>
  <si>
    <t xml:space="preserve"> JOSE ARTURO</t>
  </si>
  <si>
    <t>PALMA QUIMPER</t>
  </si>
  <si>
    <t xml:space="preserve"> FERNANDO IVAN</t>
  </si>
  <si>
    <t>PARDO MONTENEGRO</t>
  </si>
  <si>
    <t xml:space="preserve"> GRACE DEL CARMEN</t>
  </si>
  <si>
    <t>PASTEN ROJAS</t>
  </si>
  <si>
    <t xml:space="preserve"> FERNANDO ALFREDO</t>
  </si>
  <si>
    <t>PERALTA CASTILLO</t>
  </si>
  <si>
    <t xml:space="preserve"> ARIEL RODRIGO</t>
  </si>
  <si>
    <t>PEREZ ALIAGA</t>
  </si>
  <si>
    <t xml:space="preserve"> PABLO CESAR</t>
  </si>
  <si>
    <t>PEREZ ARAYA</t>
  </si>
  <si>
    <t xml:space="preserve"> CLAUDIO ANDRES</t>
  </si>
  <si>
    <t>PEREZ PERALTA</t>
  </si>
  <si>
    <t>PEREZ SALAZAR</t>
  </si>
  <si>
    <t xml:space="preserve"> ALVARO ANTONIO</t>
  </si>
  <si>
    <t>PEREZ URRUTIA</t>
  </si>
  <si>
    <t xml:space="preserve"> CLAUDIO</t>
  </si>
  <si>
    <t>PEREZ VALENZUELA</t>
  </si>
  <si>
    <t xml:space="preserve"> FERNANDO ALEJANDRO</t>
  </si>
  <si>
    <t xml:space="preserve"> HUGO PATRICIO</t>
  </si>
  <si>
    <t>PINTO PERALTA</t>
  </si>
  <si>
    <t xml:space="preserve"> GABRIEL IGNACIO</t>
  </si>
  <si>
    <t>PIÑONES RODENAS</t>
  </si>
  <si>
    <t xml:space="preserve"> JOHNNY ALEXANDER</t>
  </si>
  <si>
    <t>PIZARRO ARAYA</t>
  </si>
  <si>
    <t xml:space="preserve"> LAURA PAZ BELEN</t>
  </si>
  <si>
    <t>PONCE MONARDES</t>
  </si>
  <si>
    <t xml:space="preserve"> CATALINA ANDREA</t>
  </si>
  <si>
    <t>QUINTERO GONZALEZ</t>
  </si>
  <si>
    <t xml:space="preserve"> JOSUE EMANUEL</t>
  </si>
  <si>
    <t>QUIROZ ROJAS</t>
  </si>
  <si>
    <t xml:space="preserve"> ROCIO BELEN</t>
  </si>
  <si>
    <t>RAMIREZ MAIBE</t>
  </si>
  <si>
    <t xml:space="preserve"> MARCO ANTONIO</t>
  </si>
  <si>
    <t>RAVE PIZARRO</t>
  </si>
  <si>
    <t xml:space="preserve"> JESSICA MARITZA</t>
  </si>
  <si>
    <t>REINOSO ESQUIVEL</t>
  </si>
  <si>
    <t xml:space="preserve"> ANYELA IVONE</t>
  </si>
  <si>
    <t>RETAMALES HURTADO</t>
  </si>
  <si>
    <t xml:space="preserve"> ANDREA JULIAT</t>
  </si>
  <si>
    <t>REYES ARAYA</t>
  </si>
  <si>
    <t xml:space="preserve"> MATIAS GEOVANNI</t>
  </si>
  <si>
    <t>RIOS VARGAS</t>
  </si>
  <si>
    <t xml:space="preserve"> BRIAN DAVID</t>
  </si>
  <si>
    <t>RIQUELME LOPEZ</t>
  </si>
  <si>
    <t xml:space="preserve"> CATALINA JYO</t>
  </si>
  <si>
    <t>RIVAS BRUNA</t>
  </si>
  <si>
    <t>RIVERA ALTAMIRANO</t>
  </si>
  <si>
    <t xml:space="preserve"> LUIS ESTEBAN</t>
  </si>
  <si>
    <t>RIVERA PEREZ</t>
  </si>
  <si>
    <t xml:space="preserve"> JAVIERA FERNANDA</t>
  </si>
  <si>
    <t>ROCCO GUZMAN</t>
  </si>
  <si>
    <t xml:space="preserve"> GABRIELA BELEN</t>
  </si>
  <si>
    <t>ROCHA RIOS</t>
  </si>
  <si>
    <t>ROCO PALMA</t>
  </si>
  <si>
    <t xml:space="preserve"> ALEXANDRA CRISTINA</t>
  </si>
  <si>
    <t>RODAS SALCES</t>
  </si>
  <si>
    <t xml:space="preserve"> ELIANA</t>
  </si>
  <si>
    <t>ROJAS CALLEJAS</t>
  </si>
  <si>
    <t xml:space="preserve"> ARANTZA DOMINIQUE FIONA</t>
  </si>
  <si>
    <t>ROJAS HENRIQUEZ</t>
  </si>
  <si>
    <t xml:space="preserve"> NICOLAS IGNACIO</t>
  </si>
  <si>
    <t>ROJAS MAUGARD</t>
  </si>
  <si>
    <t xml:space="preserve"> MONSERRAT</t>
  </si>
  <si>
    <t>ROJAS MORGADO</t>
  </si>
  <si>
    <t xml:space="preserve"> YEREMI ALAN</t>
  </si>
  <si>
    <t>RUIZ VEGA</t>
  </si>
  <si>
    <t xml:space="preserve"> MELANIE CHRISTEL</t>
  </si>
  <si>
    <t>SALAZAR GONZALEZ</t>
  </si>
  <si>
    <t xml:space="preserve"> DANTE PATRICIO</t>
  </si>
  <si>
    <t>SALAZAR MALDONADO</t>
  </si>
  <si>
    <t xml:space="preserve"> CHRISTIAN EDUARDO</t>
  </si>
  <si>
    <t>SALDAÑO CHAMORRO</t>
  </si>
  <si>
    <t xml:space="preserve"> FABRIZZIO ANIBAL DUVAN</t>
  </si>
  <si>
    <t>SANCHEZ QUISPE</t>
  </si>
  <si>
    <t xml:space="preserve"> GISSELA ANDREA</t>
  </si>
  <si>
    <t>SANCHEZ SUAREZ</t>
  </si>
  <si>
    <t xml:space="preserve"> DIEGO ANDRES</t>
  </si>
  <si>
    <t>SARTORI REYES</t>
  </si>
  <si>
    <t xml:space="preserve"> MATIAS IGNACIO</t>
  </si>
  <si>
    <t>SEABROOK LEON</t>
  </si>
  <si>
    <t xml:space="preserve"> GIORGIO ROLANDO</t>
  </si>
  <si>
    <t>SEPULVEDA FLORES</t>
  </si>
  <si>
    <t xml:space="preserve"> ROMINA PATZZY ALEJANDR</t>
  </si>
  <si>
    <t>SILVA CAMPOS</t>
  </si>
  <si>
    <t xml:space="preserve"> CHRISTIAN OLIVER</t>
  </si>
  <si>
    <t>SILVA ROCHA</t>
  </si>
  <si>
    <t xml:space="preserve"> ANDREA DEL CARMEN</t>
  </si>
  <si>
    <t>SOLIS AGUIRRE</t>
  </si>
  <si>
    <t xml:space="preserve"> ALEJANDRO LUIS</t>
  </si>
  <si>
    <t>SOTO ILUFI</t>
  </si>
  <si>
    <t xml:space="preserve"> CRISTIAN ANTONIO JULIO</t>
  </si>
  <si>
    <t>STIPELCOVICH STIPELCOVICH</t>
  </si>
  <si>
    <t xml:space="preserve"> KENJEI IVAR</t>
  </si>
  <si>
    <t>TAPIA MAGNE</t>
  </si>
  <si>
    <t xml:space="preserve"> DYLAN RODRIGO</t>
  </si>
  <si>
    <t>TELLO CARDENAS</t>
  </si>
  <si>
    <t xml:space="preserve"> FRANCISCO JAVIER</t>
  </si>
  <si>
    <t>TERCEROS CHOQUE</t>
  </si>
  <si>
    <t xml:space="preserve"> BRENDA NAYELI</t>
  </si>
  <si>
    <t>TORRES SALAS</t>
  </si>
  <si>
    <t xml:space="preserve"> LEANDRO CARLOS</t>
  </si>
  <si>
    <t>UGARTE LIRA</t>
  </si>
  <si>
    <t xml:space="preserve"> BARBARA STEPHANIA</t>
  </si>
  <si>
    <t>URIBE CHANDIA</t>
  </si>
  <si>
    <t xml:space="preserve"> ALEJANDRA ANDREA</t>
  </si>
  <si>
    <t>URRUTIA ACUÑA</t>
  </si>
  <si>
    <t>VALDEBENITO MORALES</t>
  </si>
  <si>
    <t xml:space="preserve"> VICTOR ANDRES</t>
  </si>
  <si>
    <t>VALDERRAMA FERNANDEZ</t>
  </si>
  <si>
    <t xml:space="preserve"> OSCAR IGNACIO</t>
  </si>
  <si>
    <t>VALDIVIA ANDRADE</t>
  </si>
  <si>
    <t xml:space="preserve"> RENATO BRANCO</t>
  </si>
  <si>
    <t>VALVERDE HUANCA</t>
  </si>
  <si>
    <t xml:space="preserve"> ROCIO ROEMERY</t>
  </si>
  <si>
    <t>VARGAS AGUIRRE</t>
  </si>
  <si>
    <t xml:space="preserve"> SOFIA CATALINA</t>
  </si>
  <si>
    <t>VASQUEZ CASANOBA</t>
  </si>
  <si>
    <t xml:space="preserve"> EMMA JOANNE</t>
  </si>
  <si>
    <t>VELEZ MUÑOZ</t>
  </si>
  <si>
    <t xml:space="preserve"> CLAUDIO SEBASTIAN CESAR</t>
  </si>
  <si>
    <t>VERA CALDERON</t>
  </si>
  <si>
    <t xml:space="preserve"> BASTIAN ADRIAN</t>
  </si>
  <si>
    <t>VERA VERA</t>
  </si>
  <si>
    <t xml:space="preserve"> DANIELA STEPHANIA</t>
  </si>
  <si>
    <t>VIDAL RAMIREZ</t>
  </si>
  <si>
    <t xml:space="preserve"> ALVARO GUILLERMO</t>
  </si>
  <si>
    <t>VILDOSO GARRIDO</t>
  </si>
  <si>
    <t xml:space="preserve"> MAURICIO</t>
  </si>
  <si>
    <t>VILLARROEL LUNA</t>
  </si>
  <si>
    <t xml:space="preserve"> CRISTOPHER</t>
  </si>
  <si>
    <t>YAVAR BRICEÑO</t>
  </si>
  <si>
    <t xml:space="preserve"> CAMILA NICOLE</t>
  </si>
  <si>
    <t>YEVENES MARIN</t>
  </si>
  <si>
    <t xml:space="preserve"> IGNACIO CALEB</t>
  </si>
  <si>
    <t>ZULETA COLQUE</t>
  </si>
  <si>
    <t xml:space="preserve"> ESKARLETT YUBINZA</t>
  </si>
  <si>
    <t>EZCOLQUE@CL.LUCKIA.COM</t>
  </si>
  <si>
    <t>CAMILANICOLE.YAVAR@CL.LUCKIA.COM</t>
  </si>
  <si>
    <t>ENRIQUEJAVIER.YANEZ@CL.LUCKIA.COM</t>
  </si>
  <si>
    <t>ALVAROGUILLERMO.VIDAL@CL.LUCKIA.COM</t>
  </si>
  <si>
    <t>BVERA@CL.LUCKIA.COM</t>
  </si>
  <si>
    <t>CVELEZ@CL.LUCKIA.COM</t>
  </si>
  <si>
    <t>OSCARIGNACIO.VALDERRAMA@CL.LUCKIA.COM</t>
  </si>
  <si>
    <t>ALEJANDRAANDREA.URIBE@CL.LUCKIA.COM</t>
  </si>
  <si>
    <t>BUGARTE@CL.LUCKIA.COM</t>
  </si>
  <si>
    <t>KENJEI.STIPELCOVICH@CL.LUCKIA.COM</t>
  </si>
  <si>
    <t>ANDREADELCARMEN.SILVA@CL.LUCKIA.COM</t>
  </si>
  <si>
    <t>CHRISTIANOLIVER.SILVA@CL.LUCKIA.COM</t>
  </si>
  <si>
    <t>ROMINAPATZZYALEJANDRA.SEPULVEDA@CL.LUCKIA.COM</t>
  </si>
  <si>
    <t>GSEABROOK@ANTAYHOTELES.CL</t>
  </si>
  <si>
    <t>MSARTORI@CL.LUCKIA.COM</t>
  </si>
  <si>
    <t>DSSUAREZ@CL.LUCKIA.COM</t>
  </si>
  <si>
    <t>ASANMARTIN@CL.LUCKIA.COM</t>
  </si>
  <si>
    <t>FABRIZZIOANIBALDUVAN.SALDANO@CL.LUCKIA.COM</t>
  </si>
  <si>
    <t>CHRISTIAN.SALAZAR@CL.LUCKIA.COM</t>
  </si>
  <si>
    <t>DANTE.SALAZAR@CL.LUCKIA.COM</t>
  </si>
  <si>
    <t>MRVEGA@CL.LUCKIA.COM</t>
  </si>
  <si>
    <t>YRMORGADO@CL.LUCKIA.COM</t>
  </si>
  <si>
    <t>NRHENRIQUEZ@CL.LUCKIA.COM</t>
  </si>
  <si>
    <t>AROCCO@CL.LUCKIA.COM</t>
  </si>
  <si>
    <t>JAVIERA.RIVERA@CL.LUCKIA.COM</t>
  </si>
  <si>
    <t>LUISESTEBAN.RIVERA@CL.LUCKIA.COM</t>
  </si>
  <si>
    <t>MRBRUNA@CL.LUCKIA.COM</t>
  </si>
  <si>
    <t>CRIQUELMEL@CL.LUCKIA.COM</t>
  </si>
  <si>
    <t>BRIANDAVID.RIOS@CL.LUCKIA.COM</t>
  </si>
  <si>
    <t>MREYES@CL.LUCKIA.COM</t>
  </si>
  <si>
    <t>MRMAIBE@CL.LUCKIA.COM</t>
  </si>
  <si>
    <t>RQUIROZ@CL.LUCKIA.COM</t>
  </si>
  <si>
    <t>LPIZARRO@CL.LUCKIA.COM</t>
  </si>
  <si>
    <t>JPINONES@CL.LUCKIA.COM</t>
  </si>
  <si>
    <t>FPVALENZUELA@CL.LUCKIA.COM</t>
  </si>
  <si>
    <t>CPEREZ@ANTAYHOTELES.CL</t>
  </si>
  <si>
    <t>ALVAROANTONIO.PEREZ@CL.LUCKIA.COM</t>
  </si>
  <si>
    <t>MPPERALTA@CL.LUCKIA.COM</t>
  </si>
  <si>
    <t>CPARAYA@CL.LUCKIA.COM</t>
  </si>
  <si>
    <t>PABLO.PEREZ@CL.LUCKIA.COM</t>
  </si>
  <si>
    <t>APERALTA@CL.LUCKIA.COM</t>
  </si>
  <si>
    <t>GPAREDES@CL.LUCKIA.COM</t>
  </si>
  <si>
    <t>GRACEDELCARMEN.PARDO@CL.LUCKIA.COM</t>
  </si>
  <si>
    <t>FPALMA@CL.LUCKIA.COM</t>
  </si>
  <si>
    <t>JOSE.PADILLA@CL.LUCKIA.COM</t>
  </si>
  <si>
    <t>MPACO@CL.LUCKIA.COM</t>
  </si>
  <si>
    <t>IPACHECO@CL.LUCKIA.COM</t>
  </si>
  <si>
    <t>YOPAZO@CL.LUCKIA.COM</t>
  </si>
  <si>
    <t>FMVASQUEZ@CL.LUCKIA.COM</t>
  </si>
  <si>
    <t>PETER.MUFFELER@CL.LUCKIA.COM</t>
  </si>
  <si>
    <t>RMSOTOMAYOR@CL.LUCKIA.COM</t>
  </si>
  <si>
    <t>PMIRANDA@CL.LUCKIA.COM</t>
  </si>
  <si>
    <t>RMATTA@CL.LUCKIA.COM</t>
  </si>
  <si>
    <t>LMWASTAVINO@CL.LUCKIA.COM</t>
  </si>
  <si>
    <t>VMACROBIO@ANTAYHOTELES.CL</t>
  </si>
  <si>
    <t>NLVEGA@CL.LUCKIA.COM</t>
  </si>
  <si>
    <t>MLROJAS@CL.LUCKIA.COM</t>
  </si>
  <si>
    <t>CHRISTIAN.LIRA@CL.LUCKIA.COM</t>
  </si>
  <si>
    <t>VJORQUERA@ANTAYHOTELES.CL</t>
  </si>
  <si>
    <t>LLEIMYDELROSARIO.JOFRE@CL.LUCKIA.COM</t>
  </si>
  <si>
    <t>YJARA@CL.LUCKIA.COM</t>
  </si>
  <si>
    <t>AJARA@ANTAYHOTELES.CL</t>
  </si>
  <si>
    <t>FINOSTROZA@CL.LUCKIA.COM</t>
  </si>
  <si>
    <t>DHUERTA@CL.LUCKIA.COM</t>
  </si>
  <si>
    <t>LEONELALEXIS.HERRERA@CL.LUCKIA.COM</t>
  </si>
  <si>
    <t>FRANCISPAOLA.HERNANDEZ@CL.LUCKIA.COM</t>
  </si>
  <si>
    <t>JOSEPHALFREDO.HENRIQUEZ@CL.LUCKIA.COM</t>
  </si>
  <si>
    <t>CGUZMAN@CL.LUCKIA.COM</t>
  </si>
  <si>
    <t>MGSEPULVEDA@CL.LUCKIA.COM</t>
  </si>
  <si>
    <t>MGMEDINA@CL.LUCKIA.COM</t>
  </si>
  <si>
    <t>CGCONTRERAS@CL.LUCKIA.COM</t>
  </si>
  <si>
    <t>FGCERQUEIRO@LUCKIA.COM</t>
  </si>
  <si>
    <t>DIEGO.GODOY@CL.LUCKIA.COM</t>
  </si>
  <si>
    <t>BERNARDOANTONIO.GARRIDO@CL.LUCKIA.COM</t>
  </si>
  <si>
    <t>MFLORES@CL.LUCKIA.COM</t>
  </si>
  <si>
    <t>PFVELASQUEZ@CL.LUCKIA.COM</t>
  </si>
  <si>
    <t>LFARCE@CL.LUCKIA.COM</t>
  </si>
  <si>
    <t>AFHERNANDEZ@CL.LUCKIA.COM</t>
  </si>
  <si>
    <t>LFGONZALEZ@CL.LUCKIA.COM</t>
  </si>
  <si>
    <t>MEURRUTIA@CL.LUCKIA.COM</t>
  </si>
  <si>
    <t>MESPINOSA@CL.LUCKIA.COM</t>
  </si>
  <si>
    <t>LDELZO@CL.LUCKIA.COM</t>
  </si>
  <si>
    <t>MDMIRANDA@CL.LUCKIA.COM</t>
  </si>
  <si>
    <t>OLGADELCARMEN.DELGADO@CL.LUCKIA.COM</t>
  </si>
  <si>
    <t>IDAVILA@CL.LUCKIA.COM</t>
  </si>
  <si>
    <t>CCSANTIS@CL.LUCKIA.COM</t>
  </si>
  <si>
    <t>CCVISCARRA@CL.LUCKIA.COM</t>
  </si>
  <si>
    <t>MCHACON@CL.LUCKIA.COM</t>
  </si>
  <si>
    <t>TCASTRO@CL.LUCKIA.COM</t>
  </si>
  <si>
    <t>PAULINAHELGA.CASTILLO@CL.LUCKIA.COM</t>
  </si>
  <si>
    <t>MCMAMANI@CL.LUCKIA.COM</t>
  </si>
  <si>
    <t>CCZENTENO@CL.LUCKIA.COM</t>
  </si>
  <si>
    <t>ADANMOISES.CARRASCO@CL.LUCKIA.COM</t>
  </si>
  <si>
    <t>ACALLE@CL.LUCKIA.COM</t>
  </si>
  <si>
    <t>LBERISTAIN@CL.LUCKIA.COM</t>
  </si>
  <si>
    <t>FLORMARIA.BELTRAN@CL.LUCKIA.COM</t>
  </si>
  <si>
    <t>AGUSTINROGER.ARREDONDO@CL.LUCKIA.COM</t>
  </si>
  <si>
    <t>JOSEIGNACIO.ARIAS@CL.LUCKIA.COM</t>
  </si>
  <si>
    <t>PAULAGISELLE.ARELLANO@CL.LUCKIA.COM</t>
  </si>
  <si>
    <t>JARCE@CL.LUCKIA.COM</t>
  </si>
  <si>
    <t>DANEIRA@CL.LUCKIA.COM</t>
  </si>
  <si>
    <t>VICTORIAMACARENA.ARANIBAR@CL.LUCKIA.COM</t>
  </si>
  <si>
    <t>PAQUEVEQUE@CL.LUCKIA.COM</t>
  </si>
  <si>
    <t>SAPE@CL.LUCKIA.COM</t>
  </si>
  <si>
    <t>SAESPEJO@CL.LUCKIA.COM</t>
  </si>
  <si>
    <t>CALLENDES@CL.LUCKIA.COM</t>
  </si>
  <si>
    <t>IGNACIOANDRES.ALEGRE@CL.LUCKIA.COM</t>
  </si>
  <si>
    <t>JORGE.ALCAYAGA@CL.LUCKIA.COM</t>
  </si>
  <si>
    <t>NAURRUTIA@CL.LUCKIA.COM</t>
  </si>
  <si>
    <t>JUDITH.AGUIRRE@CL.LUCKIA.COM</t>
  </si>
  <si>
    <t>AAGUILAR@CL.LUCKIA.COM</t>
  </si>
  <si>
    <t>VAFERNANDEZ@CL.LUCKIA.COM</t>
  </si>
  <si>
    <t>FABARCA@ANTAYHOTELES.CL</t>
  </si>
  <si>
    <t>VAARRIAZA@ANTAYHOTELES.CL</t>
  </si>
  <si>
    <t>FAGUILERA@ANTAYHOTELES.CL</t>
  </si>
  <si>
    <t>MAFUENTEALBA@ANTAYHOTELES.CL</t>
  </si>
  <si>
    <t>SAALVAREZ@CL.LUCKIA.COM</t>
  </si>
  <si>
    <t>DAGUIRRE@ANTAYHOTELES.CL</t>
  </si>
  <si>
    <t>CAHUMADA@ANTAYHOTELES.CL</t>
  </si>
  <si>
    <t>GALANIZ@ANTAYHOTELES.CL</t>
  </si>
  <si>
    <t>NALARCON@ANTAYHOTELES.CL</t>
  </si>
  <si>
    <t>FALVARADO@ANTAYHOTELES.CL</t>
  </si>
  <si>
    <t>CANGULO@ANTAYHOTELES.CL</t>
  </si>
  <si>
    <t>TANTEZANA@ANTAYHOTELES.CL</t>
  </si>
  <si>
    <t>GANTEZANA@ANTAYHOTELES.CL</t>
  </si>
  <si>
    <t>SARAYA@ANTAYHOTELES.CL</t>
  </si>
  <si>
    <t>MARELLANO@ANTAYHOTELES.CL</t>
  </si>
  <si>
    <t>CAROLINAANDREA.ARIAS@ANTAYHOTELES.CL</t>
  </si>
  <si>
    <t>GAMUNOZ@ANTAYHOTELES.CL</t>
  </si>
  <si>
    <t>BARRIAGADA@ANTAYHOTELES.CL</t>
  </si>
  <si>
    <t>CCABEZAS@ANTAYHOTELES.CL</t>
  </si>
  <si>
    <t>NCACERES@ANTAYHOTELES.CL</t>
  </si>
  <si>
    <t>DCLANYON@ANTAYHOTELES.CL</t>
  </si>
  <si>
    <t>MCJAIME@ANTAYHOTELES.CL</t>
  </si>
  <si>
    <t>BCCASTILLO@ANTAYHOTELES.CL</t>
  </si>
  <si>
    <t>MCFUENTES@ANTAYHOTELES.CL</t>
  </si>
  <si>
    <t>ECARRASCO@ANTAYHOTELES.CL</t>
  </si>
  <si>
    <t>ACARRENO@ANTAYHOTELES.CL</t>
  </si>
  <si>
    <t>MCARRILLO@ANTAYHOTELES.CL</t>
  </si>
  <si>
    <t>MCARTAGENA@ANTAYHOTELES.CL</t>
  </si>
  <si>
    <t>FERNANDABEATRIZ.CARVAJAL@ANTAYHOTELES.CL</t>
  </si>
  <si>
    <t>GCASTRO@ANTAYHOTELES.CL</t>
  </si>
  <si>
    <t>BCATALAN@ANTAYHOTELES.CL</t>
  </si>
  <si>
    <t>LCATRIL@ANTAYHOTELES.CL</t>
  </si>
  <si>
    <t>JCISTERNA@ANTAYHOTELES.CL</t>
  </si>
  <si>
    <t>ACONDORI@ANTAYHOTELES.CL</t>
  </si>
  <si>
    <t>CCGONZALEZ@ANTAYHOTELES.CL</t>
  </si>
  <si>
    <t>NCOPAJA@ANTAYHOTELES.CL</t>
  </si>
  <si>
    <t>BCORDERO@ANTAYHOTELES.CL</t>
  </si>
  <si>
    <t>KCORIA@ANTAYHOTELES.CL</t>
  </si>
  <si>
    <t>DCRISPIN@ANTAYHOTELES.CL</t>
  </si>
  <si>
    <t>ICUELLAR@ANTAYHOTELES.CL</t>
  </si>
  <si>
    <t>GDELPERO@ANTAYHOTELES.CL</t>
  </si>
  <si>
    <t>NDCASTRO@ANTAYHOTELES.CL</t>
  </si>
  <si>
    <t>KDELAVEGA@ANTAYHOTELES.CL</t>
  </si>
  <si>
    <t>GDURAN@ANTAYHOTELES.CL</t>
  </si>
  <si>
    <t>OFGONZALEZ@ANTAYHOTELES.CL</t>
  </si>
  <si>
    <t>DFPIZARRO@ANTAYHOTELES.CL</t>
  </si>
  <si>
    <t>MFTOLEDO@ANTAYHOTELES.CL</t>
  </si>
  <si>
    <t>YFLORES@ANTAYHOTELES.CL</t>
  </si>
  <si>
    <t>IFLORES@ANTAYHOTELES.CL</t>
  </si>
  <si>
    <t>JGMARIN@CL.LUCKIA.COM</t>
  </si>
  <si>
    <t>NGCHOQUE@ANTAYHOTELES.CL</t>
  </si>
  <si>
    <t>AGATICA@ANTAYHOTELES.CL</t>
  </si>
  <si>
    <t>RGBUGUENO@ANTAYHOTELES.CL</t>
  </si>
  <si>
    <t>JGODOY@ANTAYHOTELES.CL</t>
  </si>
  <si>
    <t>CGESPINOZA@ANTAYHOTELES.CL</t>
  </si>
  <si>
    <t>AGALVAREZ@CL.LUCKIA.COM</t>
  </si>
  <si>
    <t>CGONZALEZA@CL.LUCKIA.COM</t>
  </si>
  <si>
    <t>KCAYO@ANTAYHOTELES.CL</t>
  </si>
  <si>
    <t>MARIAESTHER.GONZALEZ@ANTAYHOTELES.CL</t>
  </si>
  <si>
    <t>FGOROZCO@ANTAYHOTELES.CL</t>
  </si>
  <si>
    <t>MGONZALEZR@ANTAYHOTELES.CL</t>
  </si>
  <si>
    <t>MIGUEL.GONZALEZ@CL.LUCKIA.COM</t>
  </si>
  <si>
    <t>SGUERRA@ANTAHOTELES.CL</t>
  </si>
  <si>
    <t>IGUTIERREZ@ANTAYHOTELES.CL</t>
  </si>
  <si>
    <t>VHERRERA@ANTAYHOTELES.CL</t>
  </si>
  <si>
    <t>CJIMENEZ@ANTAYHOTELES.CL</t>
  </si>
  <si>
    <t>MLASSO@ANTAYHOTELES.CL</t>
  </si>
  <si>
    <t>ELAVALLE@ANTAYHOTELES.CL</t>
  </si>
  <si>
    <t>DLEIVA@ANTAYHOTELES.CL</t>
  </si>
  <si>
    <t>EVELYNDENISSE.LOPEZ@ANTAYHOTELES.CL</t>
  </si>
  <si>
    <t>MLNAVARRO@ANTAYHOTELES.CL</t>
  </si>
  <si>
    <t>MLVALDERRAMA@ANTAYHOTELES.CL</t>
  </si>
  <si>
    <t>EMADARIAGA@ANTAYHOTELES.CL</t>
  </si>
  <si>
    <t>AMANCILLA@ANTAYHOTELES.CL</t>
  </si>
  <si>
    <t>YOHANNA.MANQUE@ANTAYHOTELES.CL</t>
  </si>
  <si>
    <t>IMARCA@ANTAYHOTELES.CL</t>
  </si>
  <si>
    <t>NMCORTES@ANTAYHOTELES.CL</t>
  </si>
  <si>
    <t>DANNY.MARTINEZ@ANTAYHOTELES.CL</t>
  </si>
  <si>
    <t>FABRICIO.MARTINEZ@ANTAYHOTELES.CL</t>
  </si>
  <si>
    <t>MMALFARO@ANTAYHOTELES.CL</t>
  </si>
  <si>
    <t>TMISTRETTA@ANTAYHOTELES.CL</t>
  </si>
  <si>
    <t>MMSILVA@ANTAYHOTELES.CL</t>
  </si>
  <si>
    <t>SMOLINA@ANTAYHOTELES.CL</t>
  </si>
  <si>
    <t>RMORA@ANTAYHOTELES.CL</t>
  </si>
  <si>
    <t>FMYEVENES@CL.LUCKIA.COM</t>
  </si>
  <si>
    <t>JORGEJACOB.NANJARI@ANTAYHOTELES.CL</t>
  </si>
  <si>
    <t>DNOCHES@ANTAYHOTELES.CL</t>
  </si>
  <si>
    <t>ANOCHES@ANTAYHOTELES.CL</t>
  </si>
  <si>
    <t>LOGONZALEZ@ANTAYHOTELES.CL</t>
  </si>
  <si>
    <t>COVINALES@ANTAYHOTELES.CL</t>
  </si>
  <si>
    <t>EOLIVEROS@ANTAYHOTELES.CL</t>
  </si>
  <si>
    <t>JOURRUTIA@ANTAYHOTELES.CL</t>
  </si>
  <si>
    <t>RORTIZ@ANTAYHOTELES.CL</t>
  </si>
  <si>
    <t>IOSORIO@ANTAYHOTELES.CL</t>
  </si>
  <si>
    <t>OSCAR.OSSANDON@ANTAYHOTELES.CL</t>
  </si>
  <si>
    <t>MPAEZT@ANTAYHOTELES.CL</t>
  </si>
  <si>
    <t>SPALLERO@ANTAYHOTELES.CL</t>
  </si>
  <si>
    <t>MPALOMINO@ANTAYHOTELES.CL</t>
  </si>
  <si>
    <t>FERNANDOALFREDO.PASTEN@ANTAYHOTELES.CL</t>
  </si>
  <si>
    <t>RPNUNEZ@CL.LUCKIA.COM</t>
  </si>
  <si>
    <t>HPVALENZUELA@ANTAYHOTELES.CL</t>
  </si>
  <si>
    <t>GPINTO@ANTAYHOTELES.CL</t>
  </si>
  <si>
    <t>GPUEYES@ANTAYHOTELES.CL</t>
  </si>
  <si>
    <t>JQUNTERO@ANTAYHOTELES.CL</t>
  </si>
  <si>
    <t>JRAVE@ANTAYHOTELES.CL</t>
  </si>
  <si>
    <t>AREINOSO@ANTAYHOTELES.CL</t>
  </si>
  <si>
    <t>ARETAMALES@ANTAYHOTELES.CL</t>
  </si>
  <si>
    <t>GROCCO@ANTAYHOTELES.CL</t>
  </si>
  <si>
    <t>MRMAUGARD@ANTAYHOTELES.CL</t>
  </si>
  <si>
    <t>CRSANTANA@ANTAYHOTELES.CL</t>
  </si>
  <si>
    <t>JRUBINA@ANTAYHOTELES.CL</t>
  </si>
  <si>
    <t>DTMAGNE@ANTAYHOTELES.CL</t>
  </si>
  <si>
    <t>VTAUCARE@ANTAYHOTELES.CL</t>
  </si>
  <si>
    <t>BTERCEROS@ANTAYHOTELES.CL</t>
  </si>
  <si>
    <t>LEANDROCARLOS.TORRES@ANTAYHOTELES.CL</t>
  </si>
  <si>
    <t>RVALDIVIA@ANTAYHOTELES.CL</t>
  </si>
  <si>
    <t>SVAGUIRRE@ANTAYHOTELES.CL</t>
  </si>
  <si>
    <t>CVCALDERON@ANTAYHOTELES.CL</t>
  </si>
  <si>
    <t>DVERA@ANTAYHOTELES.CL</t>
  </si>
  <si>
    <t>BVILLANUEVA@ANTAYHOTELES.CL</t>
  </si>
  <si>
    <t>CVILLARROEL@ANTAYHOTELES.CL</t>
  </si>
  <si>
    <t>AVILLATORO@CL.LUCKIA.COM</t>
  </si>
  <si>
    <t>IYEVENES@ANTAYHOTELES.CL</t>
  </si>
  <si>
    <t>24941316-k</t>
  </si>
  <si>
    <t>Oscar Ossandon</t>
  </si>
  <si>
    <t>Introducción al mundo de la cocteleria</t>
  </si>
  <si>
    <t>Secuencia de servicio</t>
  </si>
  <si>
    <t>Introducción al mundo del vino</t>
  </si>
  <si>
    <t>Procedimiento Stock de cigarros</t>
  </si>
  <si>
    <t>Alejandro Solis</t>
  </si>
  <si>
    <t>RR.HH</t>
  </si>
  <si>
    <t>Reinducción indefinidos</t>
  </si>
  <si>
    <t>Curso excel básico</t>
  </si>
  <si>
    <t>Leonel Herrera</t>
  </si>
  <si>
    <t>Programa Tutor</t>
  </si>
  <si>
    <t>Programa Tutor/Inclusion laboral</t>
  </si>
  <si>
    <t>Nicole Urrutia</t>
  </si>
  <si>
    <t>Cata de Vinos</t>
  </si>
  <si>
    <t>Rut</t>
  </si>
  <si>
    <t>17556754-2</t>
  </si>
  <si>
    <t>20217148-6</t>
  </si>
  <si>
    <t>28444604-6</t>
  </si>
  <si>
    <t>10812297-8</t>
  </si>
  <si>
    <t>18183593-1</t>
  </si>
  <si>
    <t>21777103-K</t>
  </si>
  <si>
    <t>22010904-6</t>
  </si>
  <si>
    <t>20781134-3</t>
  </si>
  <si>
    <t>21772827-4</t>
  </si>
  <si>
    <t>19102428-1</t>
  </si>
  <si>
    <t>17829037-1</t>
  </si>
  <si>
    <t>21353679-6</t>
  </si>
  <si>
    <t>20776064-1</t>
  </si>
  <si>
    <t>19605837-0</t>
  </si>
  <si>
    <t>21952105-7</t>
  </si>
  <si>
    <t>19276433-5</t>
  </si>
  <si>
    <t>17037083-K</t>
  </si>
  <si>
    <t>18822721-K</t>
  </si>
  <si>
    <t>21658228-4</t>
  </si>
  <si>
    <t>20643427-9</t>
  </si>
  <si>
    <t>21202386-8</t>
  </si>
  <si>
    <t>22181824-5</t>
  </si>
  <si>
    <t>20767515-6</t>
  </si>
  <si>
    <t>27497503-2</t>
  </si>
  <si>
    <t>20996866-5</t>
  </si>
  <si>
    <t>17799706-4</t>
  </si>
  <si>
    <t>21549232-K</t>
  </si>
  <si>
    <t>25438930-7</t>
  </si>
  <si>
    <t>21149296-1</t>
  </si>
  <si>
    <t>19045981-0</t>
  </si>
  <si>
    <t>21667801-K</t>
  </si>
  <si>
    <t>21313630-5</t>
  </si>
  <si>
    <t>20218357-3</t>
  </si>
  <si>
    <t>19632526-3</t>
  </si>
  <si>
    <t>23863626-4</t>
  </si>
  <si>
    <t>20495965-K</t>
  </si>
  <si>
    <t>21574643-7</t>
  </si>
  <si>
    <t>17128627-1</t>
  </si>
  <si>
    <t>25982093-6</t>
  </si>
  <si>
    <t>20215659-2</t>
  </si>
  <si>
    <t>13005570-2</t>
  </si>
  <si>
    <t>27074873-2</t>
  </si>
  <si>
    <t>21712374-7</t>
  </si>
  <si>
    <t>23822358-K</t>
  </si>
  <si>
    <t>24783644-6</t>
  </si>
  <si>
    <t>20820320-7</t>
  </si>
  <si>
    <t>20947893-5</t>
  </si>
  <si>
    <t>AGUILERA JIMENEZ</t>
  </si>
  <si>
    <t xml:space="preserve"> BIANCA DANIELA</t>
  </si>
  <si>
    <t>ALARCON INQUILTUPA</t>
  </si>
  <si>
    <t xml:space="preserve"> JIMMY EDUARDO</t>
  </si>
  <si>
    <t>ALDUNATE MEDINA</t>
  </si>
  <si>
    <t xml:space="preserve"> ROBERTO CARLOS</t>
  </si>
  <si>
    <t>ALLENDES VEGA</t>
  </si>
  <si>
    <t xml:space="preserve"> SEBASTIAN IGNACIO</t>
  </si>
  <si>
    <t>ANJEL ANJEL</t>
  </si>
  <si>
    <t xml:space="preserve"> CARLA JOAN</t>
  </si>
  <si>
    <t>ARAYA FLORES</t>
  </si>
  <si>
    <t xml:space="preserve"> VALENTINA PAZ</t>
  </si>
  <si>
    <t>ARAYA LORCA</t>
  </si>
  <si>
    <t xml:space="preserve"> FERNANDA IGNACIA</t>
  </si>
  <si>
    <t xml:space="preserve"> JUAN PABLO</t>
  </si>
  <si>
    <t>ASCENCIO MARTINEZ</t>
  </si>
  <si>
    <t xml:space="preserve"> ISIDORA MONSERRATH</t>
  </si>
  <si>
    <t>AVENDAÑO ARANCIBIA</t>
  </si>
  <si>
    <t xml:space="preserve"> MAURICIO ANTONIO</t>
  </si>
  <si>
    <t>BAEZA COFRÉ</t>
  </si>
  <si>
    <t xml:space="preserve"> JUAN MAYKOL LUIS</t>
  </si>
  <si>
    <t>BARREAU FLORES</t>
  </si>
  <si>
    <t xml:space="preserve"> DIEGO ADRIAN</t>
  </si>
  <si>
    <t>BASAEZ PINTO</t>
  </si>
  <si>
    <t xml:space="preserve"> GIOVANNY JEFFRY</t>
  </si>
  <si>
    <t>BASTIAS VERGARA</t>
  </si>
  <si>
    <t xml:space="preserve"> LUKAS MATEO</t>
  </si>
  <si>
    <t>BEAS GUILLEN</t>
  </si>
  <si>
    <t xml:space="preserve"> ESTEFANY ESTRELLA</t>
  </si>
  <si>
    <t>CACERES RODRIGUEZ</t>
  </si>
  <si>
    <t xml:space="preserve"> RENATO EMILIO</t>
  </si>
  <si>
    <t>CASTILLO NAVARRETE</t>
  </si>
  <si>
    <t xml:space="preserve"> JUAN LUIS</t>
  </si>
  <si>
    <t>CASTILLO VARAS</t>
  </si>
  <si>
    <t xml:space="preserve"> ARANZA ALEJANDRA</t>
  </si>
  <si>
    <t>CONTRERAS ROMERO</t>
  </si>
  <si>
    <t xml:space="preserve"> FRANCESCA NOEMI</t>
  </si>
  <si>
    <t>DRAGUICEVIC RIVERO</t>
  </si>
  <si>
    <t>FLORES RAMOS</t>
  </si>
  <si>
    <t xml:space="preserve"> DANIEL ANTONIO</t>
  </si>
  <si>
    <t>FUENTES VALLEJOS</t>
  </si>
  <si>
    <t xml:space="preserve"> AMARO NICOLAS</t>
  </si>
  <si>
    <t>GOMEZ YAÑEZ</t>
  </si>
  <si>
    <t xml:space="preserve"> DIEGO GUSTAVO</t>
  </si>
  <si>
    <t>GONZALEZ VASQUEZ</t>
  </si>
  <si>
    <t xml:space="preserve"> JOEL JOSE</t>
  </si>
  <si>
    <t>GRENETT REYES</t>
  </si>
  <si>
    <t xml:space="preserve"> MELLANY BRILLITT</t>
  </si>
  <si>
    <t>GUAILLA GODOY</t>
  </si>
  <si>
    <t xml:space="preserve"> NICOL GIORELLA</t>
  </si>
  <si>
    <t>GUZMAN ALLENDES</t>
  </si>
  <si>
    <t xml:space="preserve"> FERNANDA NICOLE</t>
  </si>
  <si>
    <t>HURTADO PRADO</t>
  </si>
  <si>
    <t xml:space="preserve"> YIRLEY YURANI</t>
  </si>
  <si>
    <t>JIMENEZ HIDALGO</t>
  </si>
  <si>
    <t xml:space="preserve"> YEREZIM DIANA</t>
  </si>
  <si>
    <t>LOPEZ AGUILERA</t>
  </si>
  <si>
    <t xml:space="preserve"> MAURICIO ALEJANDRO</t>
  </si>
  <si>
    <t>MAIBE MAIBE</t>
  </si>
  <si>
    <t xml:space="preserve"> MARCELA PAZ</t>
  </si>
  <si>
    <t>MAMANI CHALLAPA</t>
  </si>
  <si>
    <t xml:space="preserve"> ALEXANDER ANTONIO</t>
  </si>
  <si>
    <t>MANQUE JIMENEZ</t>
  </si>
  <si>
    <t>MERINO MEYER</t>
  </si>
  <si>
    <t xml:space="preserve"> GIANNY NELSON MARLON</t>
  </si>
  <si>
    <t>NARANJO ZAMORANO</t>
  </si>
  <si>
    <t>OBANDO VIVAS</t>
  </si>
  <si>
    <t xml:space="preserve"> YORMAN JOEL</t>
  </si>
  <si>
    <t>OLAVE SANTIAGO</t>
  </si>
  <si>
    <t xml:space="preserve"> ALEXANDRA SIMONNE</t>
  </si>
  <si>
    <t xml:space="preserve"> NATALY ARACELY</t>
  </si>
  <si>
    <t>ORTIZ OLIVARES</t>
  </si>
  <si>
    <t xml:space="preserve"> SCARLETTE NICOLE</t>
  </si>
  <si>
    <t>PIÑATE ANDUEZA</t>
  </si>
  <si>
    <t xml:space="preserve"> GUSTAVO ENRIQUE</t>
  </si>
  <si>
    <t>PONCE PAZ</t>
  </si>
  <si>
    <t xml:space="preserve"> NAYARET VERONICA</t>
  </si>
  <si>
    <t>PONCE PONCE</t>
  </si>
  <si>
    <t xml:space="preserve"> CRISTIAN MARCELO</t>
  </si>
  <si>
    <t>RUJANO FLORES</t>
  </si>
  <si>
    <t xml:space="preserve"> YRENE YNES</t>
  </si>
  <si>
    <t>SALINAS CASTRO</t>
  </si>
  <si>
    <t xml:space="preserve"> AMANDA ISABELLA</t>
  </si>
  <si>
    <t>SANTANA JUAREZ</t>
  </si>
  <si>
    <t xml:space="preserve"> KAREN PAMELA</t>
  </si>
  <si>
    <t>SPIGNO CARRASCO</t>
  </si>
  <si>
    <t xml:space="preserve"> GINA SOLEDAD</t>
  </si>
  <si>
    <t>TRABUCCO SOTO</t>
  </si>
  <si>
    <t xml:space="preserve"> DAMIAN IGNACIO</t>
  </si>
  <si>
    <t>ZEPEDA VALDES</t>
  </si>
  <si>
    <t>102317</t>
  </si>
  <si>
    <t>103808</t>
  </si>
  <si>
    <t>103814</t>
  </si>
  <si>
    <t>103845</t>
  </si>
  <si>
    <t>103974</t>
  </si>
  <si>
    <t>103796</t>
  </si>
  <si>
    <t>103792</t>
  </si>
  <si>
    <t>103806</t>
  </si>
  <si>
    <t>103189</t>
  </si>
  <si>
    <t>103871</t>
  </si>
  <si>
    <t>102197</t>
  </si>
  <si>
    <t>103252</t>
  </si>
  <si>
    <t>103483</t>
  </si>
  <si>
    <t>104059</t>
  </si>
  <si>
    <t>103980</t>
  </si>
  <si>
    <t>104004</t>
  </si>
  <si>
    <t>103853</t>
  </si>
  <si>
    <t>103810</t>
  </si>
  <si>
    <t>103989</t>
  </si>
  <si>
    <t>103968</t>
  </si>
  <si>
    <t>104044</t>
  </si>
  <si>
    <t>103899</t>
  </si>
  <si>
    <t>103793</t>
  </si>
  <si>
    <t>102452</t>
  </si>
  <si>
    <t>103855</t>
  </si>
  <si>
    <t>103795</t>
  </si>
  <si>
    <t>103431</t>
  </si>
  <si>
    <t>103965</t>
  </si>
  <si>
    <t>103963</t>
  </si>
  <si>
    <t>103887</t>
  </si>
  <si>
    <t>103967</t>
  </si>
  <si>
    <t>103598</t>
  </si>
  <si>
    <t>103224</t>
  </si>
  <si>
    <t>103220</t>
  </si>
  <si>
    <t>103880</t>
  </si>
  <si>
    <t>103462</t>
  </si>
  <si>
    <t>103609</t>
  </si>
  <si>
    <t>103118</t>
  </si>
  <si>
    <t>104043</t>
  </si>
  <si>
    <t>103898</t>
  </si>
  <si>
    <t>103028</t>
  </si>
  <si>
    <t>102451</t>
  </si>
  <si>
    <t>103244</t>
  </si>
  <si>
    <t>101425</t>
  </si>
  <si>
    <t>103892</t>
  </si>
  <si>
    <t>102729</t>
  </si>
  <si>
    <t>104042</t>
  </si>
  <si>
    <t>RODRIGUEZ VARGAS</t>
  </si>
  <si>
    <t>JESSICA</t>
  </si>
  <si>
    <t>12609907-K</t>
  </si>
  <si>
    <t>Negocio</t>
  </si>
  <si>
    <t>18822721-k</t>
  </si>
  <si>
    <t>23822358-k</t>
  </si>
  <si>
    <t>17831145-k</t>
  </si>
  <si>
    <t>18599712-k</t>
  </si>
  <si>
    <t>21210289-k</t>
  </si>
  <si>
    <t>20216031-k</t>
  </si>
  <si>
    <t>21413200-1</t>
  </si>
  <si>
    <t>19701430-k</t>
  </si>
  <si>
    <t>17037083-k</t>
  </si>
  <si>
    <t>YHURTADO@antayhoteles.cl</t>
  </si>
  <si>
    <t>DBARREAU@antayhoteles.cl</t>
  </si>
  <si>
    <t>YJHIDALGO@antayhoteles.cl</t>
  </si>
  <si>
    <t>NGUAILLA@antayhoteles.cl</t>
  </si>
  <si>
    <t>FALLENDES@antayhoteles.cl</t>
  </si>
  <si>
    <t>MAVENDANO@antayhoteles.cl</t>
  </si>
  <si>
    <t>KARENPAMELA.SANTANA@antayhoteles.cl</t>
  </si>
  <si>
    <t>GBASAEZ@antayhoteles.cl</t>
  </si>
  <si>
    <t>FALORCA@cl.luckia.com</t>
  </si>
  <si>
    <t>jcnavarrete@cl.luckia.com</t>
  </si>
  <si>
    <t>ABRIL</t>
  </si>
  <si>
    <t>Escuela CCTV</t>
  </si>
  <si>
    <t>José Arias</t>
  </si>
  <si>
    <t>Formación AA&amp;BB</t>
  </si>
  <si>
    <t>Alvaro Gatica</t>
  </si>
  <si>
    <t>Tutor "capcula de seguridad"</t>
  </si>
  <si>
    <t>Adan Carrasco</t>
  </si>
  <si>
    <t>Introduccion al mundo de los destilados</t>
  </si>
  <si>
    <t>Curso de Ingles</t>
  </si>
  <si>
    <t>Anglosaxon</t>
  </si>
  <si>
    <t>Charla concientización sobre la discapacidad</t>
  </si>
  <si>
    <t>Tutor "capsula servicio e imagen"</t>
  </si>
  <si>
    <t>Fundación Impulso</t>
  </si>
  <si>
    <t>Leandro Torres</t>
  </si>
  <si>
    <t>Servicio al cliente</t>
  </si>
  <si>
    <t>Curso Lengua de Señas</t>
  </si>
  <si>
    <t>Fundacion Impulso</t>
  </si>
  <si>
    <t>Reentrenamiento Tutor</t>
  </si>
  <si>
    <t>Primeros Auxilio</t>
  </si>
  <si>
    <t>Achs</t>
  </si>
  <si>
    <t>Decalogo del Buen trato</t>
  </si>
  <si>
    <t>Transtorno Espectro Autista con enfoque de derechos</t>
  </si>
  <si>
    <t>Fundación impulso</t>
  </si>
  <si>
    <t>22160906-9</t>
  </si>
  <si>
    <t>VZUMARAN@ANTAYHOTELES.CL</t>
  </si>
  <si>
    <t>BGLOBOS@ANTAYHOTELES.CL</t>
  </si>
  <si>
    <t>20957760-7</t>
  </si>
  <si>
    <t xml:space="preserve"> BENJAMIN RICARDO</t>
  </si>
  <si>
    <t>20709517-6</t>
  </si>
  <si>
    <t>CARMONA RODRIGUEZ</t>
  </si>
  <si>
    <t xml:space="preserve"> RODRIGO AARON IGNACIO</t>
  </si>
  <si>
    <t>GOMEZ LOBOS</t>
  </si>
  <si>
    <t xml:space="preserve"> BRANDON NICOLAS</t>
  </si>
  <si>
    <t>20654090-7</t>
  </si>
  <si>
    <t>HAHN VASQUEZ</t>
  </si>
  <si>
    <t xml:space="preserve"> ALISSON DIANA</t>
  </si>
  <si>
    <t>14419082-3</t>
  </si>
  <si>
    <t>PAILLACAN ROJAS</t>
  </si>
  <si>
    <t xml:space="preserve"> CRISTIAN ALEJANDRO</t>
  </si>
  <si>
    <t>21517395-K</t>
  </si>
  <si>
    <t>TRANGULAO SOZA</t>
  </si>
  <si>
    <t xml:space="preserve"> CATALINA AILEEN</t>
  </si>
  <si>
    <t>ZUMARAN JORQUERA</t>
  </si>
  <si>
    <t xml:space="preserve"> VICENTE ALONSO</t>
  </si>
  <si>
    <t>104106</t>
  </si>
  <si>
    <t>104121</t>
  </si>
  <si>
    <t>104068</t>
  </si>
  <si>
    <t>104120</t>
  </si>
  <si>
    <t>104109</t>
  </si>
  <si>
    <t>103241</t>
  </si>
  <si>
    <t>103895</t>
  </si>
  <si>
    <t>IASCENCIO@ANTAYHOTELES.CL</t>
  </si>
  <si>
    <t>10443648-k</t>
  </si>
  <si>
    <t>17010921-k</t>
  </si>
  <si>
    <t>Capacitaciones Parrilladas</t>
  </si>
  <si>
    <t>Asociación de parrilleros Peru</t>
  </si>
  <si>
    <t>Academia Gastronomica Internacional</t>
  </si>
  <si>
    <t>Capacitación Cocina Moderna y Emplatados</t>
  </si>
  <si>
    <t>Capacitacion maquinaria de Cocina</t>
  </si>
  <si>
    <t>Marsol</t>
  </si>
  <si>
    <t>20546171-k</t>
  </si>
  <si>
    <t>21549232-k</t>
  </si>
  <si>
    <t>EURO  ABRIL</t>
  </si>
  <si>
    <t>Paola Cortés</t>
  </si>
  <si>
    <t>Difusión Politica de Inclusión</t>
  </si>
  <si>
    <t>Introduccion al mundo del café</t>
  </si>
  <si>
    <t>Britt</t>
  </si>
  <si>
    <t>Induccion Indefinidos</t>
  </si>
  <si>
    <t>Imagen y servicio</t>
  </si>
  <si>
    <t>Capsula de prevencion de riesgo</t>
  </si>
  <si>
    <t>Emma Vasquez</t>
  </si>
  <si>
    <t>Cierre Programa Tutor</t>
  </si>
  <si>
    <t>Johann Miranda</t>
  </si>
  <si>
    <t>Gestion de Calidad y BPM</t>
  </si>
  <si>
    <t>Javiera Rivera</t>
  </si>
  <si>
    <t>Habilidades Blandas</t>
  </si>
  <si>
    <t>Diplomado Marketing Digital</t>
  </si>
  <si>
    <t>ONLINE</t>
  </si>
  <si>
    <t>Universidad de Valparaiso</t>
  </si>
  <si>
    <t>Edición de video</t>
  </si>
  <si>
    <t>Instituto Audiovisual</t>
  </si>
  <si>
    <t>Curso de Gasfiteria</t>
  </si>
  <si>
    <t>Inacap</t>
  </si>
  <si>
    <t>21313485-k</t>
  </si>
  <si>
    <t>25322614-5</t>
  </si>
  <si>
    <t>19354083-k</t>
  </si>
  <si>
    <t>13638970-k</t>
  </si>
  <si>
    <t>21667801-k</t>
  </si>
  <si>
    <t>13862871-k</t>
  </si>
  <si>
    <t>9904862-k</t>
  </si>
  <si>
    <t>Curso de refrigeracion</t>
  </si>
  <si>
    <t>Rentrenamiento Seguridad</t>
  </si>
  <si>
    <t>CECH</t>
  </si>
  <si>
    <t>Tecnicas de Pintura</t>
  </si>
  <si>
    <t>Formacion cumplimiento normativo</t>
  </si>
  <si>
    <t>José Moncada-Javiera Rivera</t>
  </si>
  <si>
    <t>Formacion Slot</t>
  </si>
  <si>
    <t xml:space="preserve">EXTERNO  </t>
  </si>
  <si>
    <t>EXTERNO</t>
  </si>
  <si>
    <t>José Padilla</t>
  </si>
  <si>
    <t>20785517-6</t>
  </si>
  <si>
    <t>21368969-k</t>
  </si>
  <si>
    <t>20547675-k</t>
  </si>
  <si>
    <t>Ley Karin</t>
  </si>
  <si>
    <t>Marcela Palza</t>
  </si>
  <si>
    <t>Rol del lider como mentor</t>
  </si>
  <si>
    <t>Grupo Emociona</t>
  </si>
  <si>
    <t>Formación de asistencia</t>
  </si>
  <si>
    <t>Paola Cortes</t>
  </si>
  <si>
    <t>Buenas practicas inclusivas</t>
  </si>
  <si>
    <t>Paola Cortes-Nicole Urrutia</t>
  </si>
  <si>
    <t>Banco Central</t>
  </si>
  <si>
    <t>Curso Reconocimiento de Billetes</t>
  </si>
  <si>
    <t>Curso "Felicidad y gratitud"</t>
  </si>
  <si>
    <t>14105015-k</t>
  </si>
  <si>
    <t>20495965-k</t>
  </si>
  <si>
    <t>TOTAL HRS FORMACION</t>
  </si>
  <si>
    <t>Curso Lenguaje no Verbal</t>
  </si>
  <si>
    <t>Manpower</t>
  </si>
  <si>
    <t>Cuso normativo Uso Racional de la Fuerza</t>
  </si>
  <si>
    <t>Abogado Caludia Rojas</t>
  </si>
  <si>
    <t>Tutores de Integración</t>
  </si>
  <si>
    <t>JavieraRivera / Paola Cortés</t>
  </si>
  <si>
    <t>Liderazgo Inclusivo</t>
  </si>
  <si>
    <t>Nicole Urrutia/Paola Cortes</t>
  </si>
  <si>
    <t>Primeros Auxilio Pediatricos</t>
  </si>
  <si>
    <t>SST CAPACITACIONES</t>
  </si>
  <si>
    <t>Turismo Local</t>
  </si>
  <si>
    <t>Chilex turismo</t>
  </si>
  <si>
    <t>18312899-k</t>
  </si>
  <si>
    <t>15009247-7</t>
  </si>
  <si>
    <t>16466184-9</t>
  </si>
  <si>
    <t>MOROSO CHURATA</t>
  </si>
  <si>
    <t xml:space="preserve"> LUIS MARTIN</t>
  </si>
  <si>
    <t>19496162-6</t>
  </si>
  <si>
    <t>ARAYA MUÑOZ</t>
  </si>
  <si>
    <t xml:space="preserve"> JORGE MIGUEL BERNABE</t>
  </si>
  <si>
    <t>21143509-7</t>
  </si>
  <si>
    <t>CHAMBE GUZMAN</t>
  </si>
  <si>
    <t xml:space="preserve"> HUMBERTO OSVALDO</t>
  </si>
  <si>
    <t>15695416-0</t>
  </si>
  <si>
    <t>GONZALEZ SALDIVIA</t>
  </si>
  <si>
    <t>21085627-7</t>
  </si>
  <si>
    <t>POBLETE PEREZ</t>
  </si>
  <si>
    <t xml:space="preserve"> JOSE ALEJANDRO</t>
  </si>
  <si>
    <t>ESPINOZA ESCOBAR</t>
  </si>
  <si>
    <t>20216352-1</t>
  </si>
  <si>
    <t>JOHNSON PEREZ</t>
  </si>
  <si>
    <t>9115540-0</t>
  </si>
  <si>
    <t>LIBERONA GONZALEZ</t>
  </si>
  <si>
    <t xml:space="preserve"> ALBERTO ANTONIO</t>
  </si>
  <si>
    <t>10694673-6</t>
  </si>
  <si>
    <t>CASTILLO MUÑOZ</t>
  </si>
  <si>
    <t xml:space="preserve"> OLIVIA BEATRIZ</t>
  </si>
  <si>
    <t>11422061-2</t>
  </si>
  <si>
    <t>OLIVARES VALDERRAMA</t>
  </si>
  <si>
    <t xml:space="preserve"> MARTA ESTRELLA</t>
  </si>
  <si>
    <t>13016669-5</t>
  </si>
  <si>
    <t>RAMIREZ ARAVENA</t>
  </si>
  <si>
    <t xml:space="preserve"> PAULA FABIOLA</t>
  </si>
  <si>
    <t>13215741-3</t>
  </si>
  <si>
    <t>MORALES CASTRO</t>
  </si>
  <si>
    <t xml:space="preserve"> HUGO ANTONIO</t>
  </si>
  <si>
    <t>13222392-0</t>
  </si>
  <si>
    <t>OLMEDO GUARDA</t>
  </si>
  <si>
    <t xml:space="preserve"> CARMEN GLORIA</t>
  </si>
  <si>
    <t>13222994-5</t>
  </si>
  <si>
    <t>GOMEZ PALACIOS</t>
  </si>
  <si>
    <t xml:space="preserve"> LIDIA MARCELA</t>
  </si>
  <si>
    <t>13422648-K</t>
  </si>
  <si>
    <t>ROJAS DIAZ</t>
  </si>
  <si>
    <t xml:space="preserve"> CORINA XIMENA</t>
  </si>
  <si>
    <t>17773324-5</t>
  </si>
  <si>
    <t>PIZARRO ORTIZ</t>
  </si>
  <si>
    <t xml:space="preserve"> XIMENA DEL CARMEN</t>
  </si>
  <si>
    <t>18139782-9</t>
  </si>
  <si>
    <t>CRUZ OLIVARES</t>
  </si>
  <si>
    <t xml:space="preserve"> GABRIELA ALEJANDRA</t>
  </si>
  <si>
    <t>22612379-2</t>
  </si>
  <si>
    <t>LEON HUAMANI</t>
  </si>
  <si>
    <t xml:space="preserve"> LOURDES CECILIA</t>
  </si>
  <si>
    <t>18208873-0</t>
  </si>
  <si>
    <t>RIQUEL CIFUENTES</t>
  </si>
  <si>
    <t xml:space="preserve"> DIANA ESTEFANY</t>
  </si>
  <si>
    <t>16526380-4</t>
  </si>
  <si>
    <t>GODOY MARTINEZ</t>
  </si>
  <si>
    <t>13647938-5</t>
  </si>
  <si>
    <t>FLORES ARAYA</t>
  </si>
  <si>
    <t xml:space="preserve"> ORLANDO LUCIANO</t>
  </si>
  <si>
    <t>17555001-1</t>
  </si>
  <si>
    <t>SAAVEDRA SANTANDER</t>
  </si>
  <si>
    <t xml:space="preserve"> SERGUEI SALATIEL</t>
  </si>
  <si>
    <t>12219753-0</t>
  </si>
  <si>
    <t>ROJAS CONTRERAS</t>
  </si>
  <si>
    <t xml:space="preserve"> FRESIA ORLINDA</t>
  </si>
  <si>
    <t>13953797-1</t>
  </si>
  <si>
    <t>GANA BELLO</t>
  </si>
  <si>
    <t xml:space="preserve"> RICARDO ESTEBAN</t>
  </si>
  <si>
    <t>16249951-3</t>
  </si>
  <si>
    <t>GONZALEZ NEYRA</t>
  </si>
  <si>
    <t>12568070-4</t>
  </si>
  <si>
    <t xml:space="preserve"> YANINA PAMELA</t>
  </si>
  <si>
    <t>13647151-1</t>
  </si>
  <si>
    <t>ALVAYAI PACHECO</t>
  </si>
  <si>
    <t xml:space="preserve"> LORENA OLFA</t>
  </si>
  <si>
    <t>13422301-4</t>
  </si>
  <si>
    <t>SANTANDER ALCOTA</t>
  </si>
  <si>
    <t xml:space="preserve"> FRANCISCO ALBERTO</t>
  </si>
  <si>
    <t>11617251-8</t>
  </si>
  <si>
    <t>GOMEZ RODRIGUEZ</t>
  </si>
  <si>
    <t xml:space="preserve"> CECILIA DEL TRANSITO</t>
  </si>
  <si>
    <t>17773305-9</t>
  </si>
  <si>
    <t>ARAVENA CASTRO</t>
  </si>
  <si>
    <t xml:space="preserve"> GABRIEL ANTONIO</t>
  </si>
  <si>
    <t>18970271-K</t>
  </si>
  <si>
    <t>ROCO PEREZ</t>
  </si>
  <si>
    <t xml:space="preserve"> MARTIN ARMANDO</t>
  </si>
  <si>
    <t>18969904-2</t>
  </si>
  <si>
    <t>NEIRA CARRIZO</t>
  </si>
  <si>
    <t xml:space="preserve"> ANDREA JAVIERA</t>
  </si>
  <si>
    <t>18399149-3</t>
  </si>
  <si>
    <t>ARQUEROS CORTES</t>
  </si>
  <si>
    <t xml:space="preserve"> GABRIELA ELIZABETH</t>
  </si>
  <si>
    <t>11911923-5</t>
  </si>
  <si>
    <t>LAGOS RAMOS</t>
  </si>
  <si>
    <t xml:space="preserve"> MARIA ALEJANDRA</t>
  </si>
  <si>
    <t>12846152-3</t>
  </si>
  <si>
    <t>MOYA HURTADO</t>
  </si>
  <si>
    <t xml:space="preserve"> HELGA CRISTINA</t>
  </si>
  <si>
    <t>24418495-2</t>
  </si>
  <si>
    <t>ALZATE SANCHEZ</t>
  </si>
  <si>
    <t xml:space="preserve"> OSCAR ALBERTO</t>
  </si>
  <si>
    <t>19450787-9</t>
  </si>
  <si>
    <t>DIAZ ROMERO</t>
  </si>
  <si>
    <t xml:space="preserve"> JAVIERA ISIDORA</t>
  </si>
  <si>
    <t>17492880-0</t>
  </si>
  <si>
    <t>CONTRERAS CORTES</t>
  </si>
  <si>
    <t xml:space="preserve"> JETSON ELIAS</t>
  </si>
  <si>
    <t>24476240-9</t>
  </si>
  <si>
    <t>ARISPE SOLARES</t>
  </si>
  <si>
    <t xml:space="preserve"> RENE GUILLERMO</t>
  </si>
  <si>
    <t>24636567-9</t>
  </si>
  <si>
    <t>LAIME SIERRA</t>
  </si>
  <si>
    <t xml:space="preserve"> MARISOL</t>
  </si>
  <si>
    <t>18710680-K</t>
  </si>
  <si>
    <t>HERNANDEZ HERNANDEZ</t>
  </si>
  <si>
    <t xml:space="preserve"> DANIELA JAVIERA</t>
  </si>
  <si>
    <t>25662396-K</t>
  </si>
  <si>
    <t>MONCADA RIVERO</t>
  </si>
  <si>
    <t xml:space="preserve"> JOSE RICARDO</t>
  </si>
  <si>
    <t>25854382-3</t>
  </si>
  <si>
    <t>MONTENEGRO</t>
  </si>
  <si>
    <t xml:space="preserve"> ELIANA CATERINE</t>
  </si>
  <si>
    <t>18177286-7</t>
  </si>
  <si>
    <t>RIVERA BUENO</t>
  </si>
  <si>
    <t xml:space="preserve"> KATHERINNE SCARLETTE</t>
  </si>
  <si>
    <t>17393111-5</t>
  </si>
  <si>
    <t>UGALDE DELGADO</t>
  </si>
  <si>
    <t xml:space="preserve"> FRANCO ESTEBAN</t>
  </si>
  <si>
    <t>26030297-3</t>
  </si>
  <si>
    <t>LEAL ESPINOZA</t>
  </si>
  <si>
    <t xml:space="preserve"> ANDREA BELLATRIX</t>
  </si>
  <si>
    <t>25726086-0</t>
  </si>
  <si>
    <t>BECERRA ECHEVERRY</t>
  </si>
  <si>
    <t xml:space="preserve"> LEIDY DAYANA</t>
  </si>
  <si>
    <t>12444300-8</t>
  </si>
  <si>
    <t>BARAHONA ASTORGA</t>
  </si>
  <si>
    <t xml:space="preserve"> JACQUELINE JEANNETTE</t>
  </si>
  <si>
    <t>17493460-6</t>
  </si>
  <si>
    <t>ALANIS GOMEZ</t>
  </si>
  <si>
    <t xml:space="preserve"> GUILLERMO HUMBERTO</t>
  </si>
  <si>
    <t>20151973-K</t>
  </si>
  <si>
    <t>BELTRAN RAMOS</t>
  </si>
  <si>
    <t xml:space="preserve"> NATHALIE ARACELY</t>
  </si>
  <si>
    <t>19460106-9</t>
  </si>
  <si>
    <t>ALVAREZ GONZALEZ</t>
  </si>
  <si>
    <t xml:space="preserve"> CAMILA ISABEL</t>
  </si>
  <si>
    <t>18969556-K</t>
  </si>
  <si>
    <t>ACEITUNO TRONCOSO</t>
  </si>
  <si>
    <t xml:space="preserve"> FRANCISCO ALEJANDRO</t>
  </si>
  <si>
    <t>15611603-3</t>
  </si>
  <si>
    <t>FRITIS ORTIZ</t>
  </si>
  <si>
    <t xml:space="preserve"> DARIO ANDRES</t>
  </si>
  <si>
    <t>25124305-0</t>
  </si>
  <si>
    <t>CHURA CHOQUE</t>
  </si>
  <si>
    <t xml:space="preserve"> NORA EVANIA</t>
  </si>
  <si>
    <t>13016655-5</t>
  </si>
  <si>
    <t>PEREZ BACHO</t>
  </si>
  <si>
    <t xml:space="preserve"> ALEJANDRA SOLEDAD</t>
  </si>
  <si>
    <t>19460450-5</t>
  </si>
  <si>
    <t>FRITIS ROJAS</t>
  </si>
  <si>
    <t xml:space="preserve"> UVER JAIR</t>
  </si>
  <si>
    <t>26259625-7</t>
  </si>
  <si>
    <t>AJHUACHO OSCO</t>
  </si>
  <si>
    <t xml:space="preserve"> JHERALDIN KAREN</t>
  </si>
  <si>
    <t>19977213-9</t>
  </si>
  <si>
    <t>CISTERNAS JERALDO</t>
  </si>
  <si>
    <t>20411341-6</t>
  </si>
  <si>
    <t>PARRA ALZAMORA</t>
  </si>
  <si>
    <t xml:space="preserve"> DAYANNE KATHLEEN</t>
  </si>
  <si>
    <t>18845571-9</t>
  </si>
  <si>
    <t>JELVEZ JEN</t>
  </si>
  <si>
    <t xml:space="preserve"> CARLA ANDREA</t>
  </si>
  <si>
    <t>18140215-6</t>
  </si>
  <si>
    <t>VICENCIO VICENCIO</t>
  </si>
  <si>
    <t xml:space="preserve"> JOHNATAN FREDDY</t>
  </si>
  <si>
    <t>25648238-K</t>
  </si>
  <si>
    <t>ENRIQUEZ ABALOS DE SEGOVIA</t>
  </si>
  <si>
    <t xml:space="preserve"> BEATRIZ</t>
  </si>
  <si>
    <t>18139736-5</t>
  </si>
  <si>
    <t>URRUTIA ARANCIBIA</t>
  </si>
  <si>
    <t xml:space="preserve"> ELIAS ORIEL</t>
  </si>
  <si>
    <t>19666756-3</t>
  </si>
  <si>
    <t>ARAYA CORTES</t>
  </si>
  <si>
    <t xml:space="preserve"> DANIELA FERNANDA</t>
  </si>
  <si>
    <t>26804687-9</t>
  </si>
  <si>
    <t>BENITES</t>
  </si>
  <si>
    <t xml:space="preserve"> ALDANA AYELEN</t>
  </si>
  <si>
    <t>18140544-9</t>
  </si>
  <si>
    <t>CABRERA OVALLE</t>
  </si>
  <si>
    <t xml:space="preserve"> CAROLINA ALEJANDRA</t>
  </si>
  <si>
    <t>27101353-1</t>
  </si>
  <si>
    <t>BARRERA MUÑOZ</t>
  </si>
  <si>
    <t xml:space="preserve"> JULIAN ESTEBAN</t>
  </si>
  <si>
    <t>25829250-2</t>
  </si>
  <si>
    <t>MOSQUERA GUERRERO</t>
  </si>
  <si>
    <t xml:space="preserve"> NELSON EDUARDO</t>
  </si>
  <si>
    <t>27061034-K</t>
  </si>
  <si>
    <t>TORRES MUÑOZ</t>
  </si>
  <si>
    <t xml:space="preserve"> CHARINA</t>
  </si>
  <si>
    <t>19451504-9</t>
  </si>
  <si>
    <t>CONTRERAS CORTEZ</t>
  </si>
  <si>
    <t xml:space="preserve"> ALAN GABRIEL</t>
  </si>
  <si>
    <t>24332557-9</t>
  </si>
  <si>
    <t>GRAJALES DUEÑAS</t>
  </si>
  <si>
    <t xml:space="preserve"> LORENT KENNETH</t>
  </si>
  <si>
    <t>25122738-1</t>
  </si>
  <si>
    <t>ALARCON CASTILLO</t>
  </si>
  <si>
    <t xml:space="preserve"> CHRISTOPHER SAMIR</t>
  </si>
  <si>
    <t>20152032-0</t>
  </si>
  <si>
    <t>GARRIDO AGUIRRE</t>
  </si>
  <si>
    <t xml:space="preserve"> ANDRES FELIPE</t>
  </si>
  <si>
    <t>19451036-5</t>
  </si>
  <si>
    <t>BOLIVAR OBLITAS</t>
  </si>
  <si>
    <t xml:space="preserve"> ARANTXA ALEXIA</t>
  </si>
  <si>
    <t>20354820-6</t>
  </si>
  <si>
    <t>CAMPOS TRONCOSO</t>
  </si>
  <si>
    <t xml:space="preserve"> BEATRIZ MARGARITA</t>
  </si>
  <si>
    <t>19452491-9</t>
  </si>
  <si>
    <t>CUBILLOS ROJAS</t>
  </si>
  <si>
    <t xml:space="preserve"> ROMYNA RUTH</t>
  </si>
  <si>
    <t>19450557-4</t>
  </si>
  <si>
    <t>SALAMANCA MUÑOZ</t>
  </si>
  <si>
    <t xml:space="preserve"> GABRIEL</t>
  </si>
  <si>
    <t>13016509-5</t>
  </si>
  <si>
    <t>CORREA CUELLO</t>
  </si>
  <si>
    <t xml:space="preserve"> SILVIA MARCELA</t>
  </si>
  <si>
    <t>17117755-3</t>
  </si>
  <si>
    <t>STIPELCOVICH COELLO</t>
  </si>
  <si>
    <t xml:space="preserve"> DARKO LESTHER</t>
  </si>
  <si>
    <t>18710864-0</t>
  </si>
  <si>
    <t>ALAMOS LOPEZ</t>
  </si>
  <si>
    <t xml:space="preserve"> DANIEL RODOLFO ENRIQUE</t>
  </si>
  <si>
    <t>18506724-6</t>
  </si>
  <si>
    <t>ORELLANA GALLARDO</t>
  </si>
  <si>
    <t xml:space="preserve"> NADIA ANDREA</t>
  </si>
  <si>
    <t>18403833-1</t>
  </si>
  <si>
    <t>ALQUINTA BARCO</t>
  </si>
  <si>
    <t xml:space="preserve"> CAMILA NICOLET</t>
  </si>
  <si>
    <t>17555250-2</t>
  </si>
  <si>
    <t>YAÑEZ HUERTA</t>
  </si>
  <si>
    <t xml:space="preserve"> ANGEL ALONSO</t>
  </si>
  <si>
    <t>10458559-0</t>
  </si>
  <si>
    <t>OSSES FERNANDEZ</t>
  </si>
  <si>
    <t xml:space="preserve"> MAGALY DEL CARMEN</t>
  </si>
  <si>
    <t>20216017-4</t>
  </si>
  <si>
    <t>MAMANI CORTES</t>
  </si>
  <si>
    <t xml:space="preserve"> IVANIA MICAELA</t>
  </si>
  <si>
    <t>16526761-3</t>
  </si>
  <si>
    <t>GORDILLO REINOSO</t>
  </si>
  <si>
    <t xml:space="preserve"> DANIELA CHARLYN</t>
  </si>
  <si>
    <t>21554022-7</t>
  </si>
  <si>
    <t>ESTAY DROGUETT</t>
  </si>
  <si>
    <t xml:space="preserve"> KRISHNA JAN-IVES</t>
  </si>
  <si>
    <t>10312788-2</t>
  </si>
  <si>
    <t>CARVAJAL CONTRERAS</t>
  </si>
  <si>
    <t xml:space="preserve"> MONICA DEL CARMEN</t>
  </si>
  <si>
    <t>26870659-3</t>
  </si>
  <si>
    <t>GARCIA CHIRINOS</t>
  </si>
  <si>
    <t xml:space="preserve"> SAMUEL ANDRES</t>
  </si>
  <si>
    <t>20301438-4</t>
  </si>
  <si>
    <t>IBACACHE ROJAS</t>
  </si>
  <si>
    <t xml:space="preserve"> JENNIFER TERESA</t>
  </si>
  <si>
    <t>20643648-4</t>
  </si>
  <si>
    <t>TOBAR ARAVENA</t>
  </si>
  <si>
    <t xml:space="preserve"> SCARLLETTE GABRIELA</t>
  </si>
  <si>
    <t>16991932-1</t>
  </si>
  <si>
    <t>ACEVEDO RAMIREZ</t>
  </si>
  <si>
    <t xml:space="preserve"> TANIA MACARENA</t>
  </si>
  <si>
    <t>20411482-K</t>
  </si>
  <si>
    <t>ECHEVERRIA GALLEGUILLOS</t>
  </si>
  <si>
    <t xml:space="preserve"> CATALINA ISIDOR</t>
  </si>
  <si>
    <t>20410599-5</t>
  </si>
  <si>
    <t>CONTRERAS LEDESMA</t>
  </si>
  <si>
    <t xml:space="preserve"> PAOLA FERNANDA</t>
  </si>
  <si>
    <t>20035734-5</t>
  </si>
  <si>
    <t>FRITIS JUAREZ</t>
  </si>
  <si>
    <t xml:space="preserve"> CARLA MARIBEL</t>
  </si>
  <si>
    <t>19458986-7</t>
  </si>
  <si>
    <t>ALARCON TAPIA</t>
  </si>
  <si>
    <t xml:space="preserve"> MATIAS NICOLAS</t>
  </si>
  <si>
    <t>18968298-0</t>
  </si>
  <si>
    <t>DIAZ NAVEAS</t>
  </si>
  <si>
    <t xml:space="preserve"> VICTORIA IGNACIA</t>
  </si>
  <si>
    <t>20586678-7</t>
  </si>
  <si>
    <t>BORDONES CARMONA</t>
  </si>
  <si>
    <t xml:space="preserve"> ALAN ANTONIO</t>
  </si>
  <si>
    <t>27334694-5</t>
  </si>
  <si>
    <t>HEREIDA VILLAZANA</t>
  </si>
  <si>
    <t xml:space="preserve"> CARMEN YULEXI</t>
  </si>
  <si>
    <t>24149059-9</t>
  </si>
  <si>
    <t>BARRETO ESQUIVEL</t>
  </si>
  <si>
    <t xml:space="preserve"> MARIA ELENA</t>
  </si>
  <si>
    <t>20551460-0</t>
  </si>
  <si>
    <t>REYNOSO SUAZO</t>
  </si>
  <si>
    <t xml:space="preserve"> ROCIO CAMILA</t>
  </si>
  <si>
    <t>18970560-3</t>
  </si>
  <si>
    <t>NUÑEZ VILLEGAS</t>
  </si>
  <si>
    <t xml:space="preserve"> DIEGO NICOLAS</t>
  </si>
  <si>
    <t>18144330-8</t>
  </si>
  <si>
    <t>ESPINOZA RODRIGUEZ</t>
  </si>
  <si>
    <t xml:space="preserve"> ALVARO BASTIAN</t>
  </si>
  <si>
    <t>18845097-0</t>
  </si>
  <si>
    <t>SALAS GUEVARA</t>
  </si>
  <si>
    <t xml:space="preserve"> CRISTIAN RODRIGO</t>
  </si>
  <si>
    <t>19911662-2</t>
  </si>
  <si>
    <t>BRUNA ALVAREZ</t>
  </si>
  <si>
    <t xml:space="preserve"> MATIAS ENRIQUE</t>
  </si>
  <si>
    <t>27418160-5</t>
  </si>
  <si>
    <t>LEMOS CASTRO</t>
  </si>
  <si>
    <t xml:space="preserve"> FANNY ANDREA</t>
  </si>
  <si>
    <t>15042565-4</t>
  </si>
  <si>
    <t>ALFARO ANGEL</t>
  </si>
  <si>
    <t xml:space="preserve"> ELBA ANGELICA</t>
  </si>
  <si>
    <t>27850132-9</t>
  </si>
  <si>
    <t>LOAIZA CASTAÑO</t>
  </si>
  <si>
    <t xml:space="preserve"> ROSA VIVIANA</t>
  </si>
  <si>
    <t>21010983-8</t>
  </si>
  <si>
    <t>GARATE LUTZ</t>
  </si>
  <si>
    <t xml:space="preserve"> CRISTIAN ALEXANDER</t>
  </si>
  <si>
    <t>20586905-0</t>
  </si>
  <si>
    <t>SILVA AGUILA</t>
  </si>
  <si>
    <t xml:space="preserve"> JOAQUIN IGNACIO</t>
  </si>
  <si>
    <t>26954114-8</t>
  </si>
  <si>
    <t>ANZOLA RODRIGUEZ</t>
  </si>
  <si>
    <t xml:space="preserve"> JHOANMY CAROLINA</t>
  </si>
  <si>
    <t>24366317-2</t>
  </si>
  <si>
    <t>FARFAN PEÑA</t>
  </si>
  <si>
    <t xml:space="preserve"> DEYSA PAOLA</t>
  </si>
  <si>
    <t>18140484-1</t>
  </si>
  <si>
    <t>LARA ARACENA</t>
  </si>
  <si>
    <t xml:space="preserve"> VANUSA SOLEDAD</t>
  </si>
  <si>
    <t>20993383-7</t>
  </si>
  <si>
    <t>GUERRA GUERRA</t>
  </si>
  <si>
    <t xml:space="preserve"> DANIELA ANDREA</t>
  </si>
  <si>
    <t>20605351-8</t>
  </si>
  <si>
    <t>ELIAS PEREZ</t>
  </si>
  <si>
    <t xml:space="preserve"> MILAN ANDRES</t>
  </si>
  <si>
    <t>11723150-K</t>
  </si>
  <si>
    <t>ASTUDILLO VEGA</t>
  </si>
  <si>
    <t xml:space="preserve"> SCARLET ISABEL</t>
  </si>
  <si>
    <t>20259943-5</t>
  </si>
  <si>
    <t>CORTES CUBILLOS</t>
  </si>
  <si>
    <t xml:space="preserve"> KASNY KARIME MARCELA</t>
  </si>
  <si>
    <t>21000301-0</t>
  </si>
  <si>
    <t>RODRIGUEZ CASTRO</t>
  </si>
  <si>
    <t xml:space="preserve"> STEFANIA ALESSANDRA</t>
  </si>
  <si>
    <t>28142179-4</t>
  </si>
  <si>
    <t>TOLA HUANCA</t>
  </si>
  <si>
    <t xml:space="preserve"> ESTER NEFTALI</t>
  </si>
  <si>
    <t>21314916-4</t>
  </si>
  <si>
    <t>CANIVILO NIEVAS</t>
  </si>
  <si>
    <t xml:space="preserve"> VALENTINA ANDREA</t>
  </si>
  <si>
    <t>12951708-5</t>
  </si>
  <si>
    <t>LEIVA DELAIGUE</t>
  </si>
  <si>
    <t xml:space="preserve"> ANA ROSSANA</t>
  </si>
  <si>
    <t>25942931-5</t>
  </si>
  <si>
    <t>YANSAGUANO CARDENAS</t>
  </si>
  <si>
    <t xml:space="preserve"> ESTEFANIA SOLEDAD</t>
  </si>
  <si>
    <t>19125256-K</t>
  </si>
  <si>
    <t>FREDES DIAZ</t>
  </si>
  <si>
    <t xml:space="preserve"> OSMAN ALEJANDRO</t>
  </si>
  <si>
    <t>15044654-6</t>
  </si>
  <si>
    <t>CARDENAS AHUMADA</t>
  </si>
  <si>
    <t xml:space="preserve"> INGRID YECENIA</t>
  </si>
  <si>
    <t>20673035-8</t>
  </si>
  <si>
    <t>MUÑOZ TAPIA</t>
  </si>
  <si>
    <t xml:space="preserve"> MACARENA ALEXANDRA</t>
  </si>
  <si>
    <t>25726528-5</t>
  </si>
  <si>
    <t>CUELLAR DOMINGUEZ</t>
  </si>
  <si>
    <t xml:space="preserve"> LUIS GUSTAVO</t>
  </si>
  <si>
    <t>25243544-1</t>
  </si>
  <si>
    <t>GOMEZ SANTOS</t>
  </si>
  <si>
    <t xml:space="preserve"> MARITZA YURANY</t>
  </si>
  <si>
    <t>20586370-2</t>
  </si>
  <si>
    <t>JAIME SANTANDER</t>
  </si>
  <si>
    <t xml:space="preserve"> MARIO ENRIQUE</t>
  </si>
  <si>
    <t>18688737-9</t>
  </si>
  <si>
    <t>MARAMBIO MUNDACA</t>
  </si>
  <si>
    <t xml:space="preserve"> LORENA CONSTANZA</t>
  </si>
  <si>
    <t>18969413-K</t>
  </si>
  <si>
    <t>PIZARRO PIZARRO</t>
  </si>
  <si>
    <t xml:space="preserve"> GABRIELA VALENTINA</t>
  </si>
  <si>
    <t>16249998-K</t>
  </si>
  <si>
    <t>LUNA OLIVO</t>
  </si>
  <si>
    <t xml:space="preserve"> ROMINA</t>
  </si>
  <si>
    <t>20970128-6</t>
  </si>
  <si>
    <t>VIZCAYA PASTEN</t>
  </si>
  <si>
    <t xml:space="preserve"> KRIHSNA MICHELLE</t>
  </si>
  <si>
    <t>26410512-9</t>
  </si>
  <si>
    <t>OTONDO LEON</t>
  </si>
  <si>
    <t xml:space="preserve"> MAYRA GRICELDA</t>
  </si>
  <si>
    <t>21191258-8</t>
  </si>
  <si>
    <t>ESPINOZA ESPINOZA</t>
  </si>
  <si>
    <t xml:space="preserve"> JUSET DAYANA</t>
  </si>
  <si>
    <t>19922149-3</t>
  </si>
  <si>
    <t>CORTES MANCILLA</t>
  </si>
  <si>
    <t xml:space="preserve"> NITAI GOURANGA</t>
  </si>
  <si>
    <t>20218533-9</t>
  </si>
  <si>
    <t>PEREZ NUÑEZ</t>
  </si>
  <si>
    <t xml:space="preserve"> RAFAEL IGNACIO</t>
  </si>
  <si>
    <t>20036045-1</t>
  </si>
  <si>
    <t>ROJAS NAVEAS</t>
  </si>
  <si>
    <t xml:space="preserve"> RODRIGO IGNACIO</t>
  </si>
  <si>
    <t>28159939-9</t>
  </si>
  <si>
    <t>MURILLO GALVAN</t>
  </si>
  <si>
    <t>19373758-7</t>
  </si>
  <si>
    <t>GUTIERREZ VILLARROEL</t>
  </si>
  <si>
    <t xml:space="preserve"> FERNANDA</t>
  </si>
  <si>
    <t>17064190-6</t>
  </si>
  <si>
    <t>MORENO DIAZ</t>
  </si>
  <si>
    <t xml:space="preserve"> CONSTANZA MONSERRAT</t>
  </si>
  <si>
    <t>27066047-9</t>
  </si>
  <si>
    <t>VALVERDE AGUIÑO</t>
  </si>
  <si>
    <t xml:space="preserve"> YESENIA</t>
  </si>
  <si>
    <t>20586651-5</t>
  </si>
  <si>
    <t>PACHECO GODOY</t>
  </si>
  <si>
    <t xml:space="preserve"> JORGE EDUARDO</t>
  </si>
  <si>
    <t>18968814-8</t>
  </si>
  <si>
    <t>ESPINOZA GONZALEZ</t>
  </si>
  <si>
    <t xml:space="preserve"> MARIA DANIELA</t>
  </si>
  <si>
    <t>28266977-3</t>
  </si>
  <si>
    <t>LLAVE QUISPE</t>
  </si>
  <si>
    <t xml:space="preserve"> ARELY</t>
  </si>
  <si>
    <t>24771845-1</t>
  </si>
  <si>
    <t>ZAVALETA CASTRO</t>
  </si>
  <si>
    <t xml:space="preserve"> JAIRO JEAN PIER</t>
  </si>
  <si>
    <t>19207317-0</t>
  </si>
  <si>
    <t>RIVEROS ARANCIBIA</t>
  </si>
  <si>
    <t xml:space="preserve"> JANIS CRISTIN</t>
  </si>
  <si>
    <t>28465799-3</t>
  </si>
  <si>
    <t>MONTAÑO POMA</t>
  </si>
  <si>
    <t xml:space="preserve"> LUIS ANTONIO</t>
  </si>
  <si>
    <t>19359450-6</t>
  </si>
  <si>
    <t>VALENZUELA RAMIREZ</t>
  </si>
  <si>
    <t xml:space="preserve"> LUIS EDUARDO</t>
  </si>
  <si>
    <t>24396067-3</t>
  </si>
  <si>
    <t>FLORES ARTEAGA</t>
  </si>
  <si>
    <t xml:space="preserve"> JUANA</t>
  </si>
  <si>
    <t>20151721-4</t>
  </si>
  <si>
    <t>ALCAYAGA CARMONA</t>
  </si>
  <si>
    <t xml:space="preserve"> JIMENA DARLIN ESCARLET</t>
  </si>
  <si>
    <t>25811730-1</t>
  </si>
  <si>
    <t>SABOGAL ALVARADO</t>
  </si>
  <si>
    <t xml:space="preserve"> ROGER CAMILO</t>
  </si>
  <si>
    <t>21731236-1</t>
  </si>
  <si>
    <t>BARRAZA MUNDACA</t>
  </si>
  <si>
    <t xml:space="preserve"> NICOLE TRINITTY</t>
  </si>
  <si>
    <t>25577244-9</t>
  </si>
  <si>
    <t>JARAMILLO CASTAÑO</t>
  </si>
  <si>
    <t xml:space="preserve"> ALEJANDRA</t>
  </si>
  <si>
    <t>20152168-8</t>
  </si>
  <si>
    <t>ANTIQUERA FUNES</t>
  </si>
  <si>
    <t xml:space="preserve"> ALEXANDRO GABRIEL</t>
  </si>
  <si>
    <t>12842342-7</t>
  </si>
  <si>
    <t>ALCOTA BRITO</t>
  </si>
  <si>
    <t xml:space="preserve"> BERNARDITA DE LOURDES</t>
  </si>
  <si>
    <t>19040380-7</t>
  </si>
  <si>
    <t>VALDES BRICEÑO</t>
  </si>
  <si>
    <t xml:space="preserve"> MONICA ANDREA</t>
  </si>
  <si>
    <t>15030685-K</t>
  </si>
  <si>
    <t>MIRANDA CAÑETE</t>
  </si>
  <si>
    <t xml:space="preserve"> IBETH ALEJANDRA</t>
  </si>
  <si>
    <t>15030190-4</t>
  </si>
  <si>
    <t>LEDEZMA CARREÑO</t>
  </si>
  <si>
    <t xml:space="preserve"> CLAUDIA GHISLAINE</t>
  </si>
  <si>
    <t>27446340-6</t>
  </si>
  <si>
    <t>OLAYA ORTIZ</t>
  </si>
  <si>
    <t xml:space="preserve"> MARIA JENNY</t>
  </si>
  <si>
    <t>19392240-6</t>
  </si>
  <si>
    <t>CERDA CURIQUEO</t>
  </si>
  <si>
    <t xml:space="preserve"> IVANNIA ANDREINA</t>
  </si>
  <si>
    <t>19910606-6</t>
  </si>
  <si>
    <t>JIMENEZ MUÑOZ</t>
  </si>
  <si>
    <t xml:space="preserve"> MACKARENA ALEJANDRA</t>
  </si>
  <si>
    <t>26543617-K</t>
  </si>
  <si>
    <t>MEJIA GARCIA</t>
  </si>
  <si>
    <t xml:space="preserve"> LINA MARIA</t>
  </si>
  <si>
    <t>21013925-7</t>
  </si>
  <si>
    <t>ZAMORA LLANCAMIL</t>
  </si>
  <si>
    <t xml:space="preserve"> LUCAS ADEMIR</t>
  </si>
  <si>
    <t>19870990-5</t>
  </si>
  <si>
    <t>ARAYA MIRANDA</t>
  </si>
  <si>
    <t xml:space="preserve"> THIARE PAMELA</t>
  </si>
  <si>
    <t>19452460-9</t>
  </si>
  <si>
    <t>URRUTIA SUAREZ</t>
  </si>
  <si>
    <t xml:space="preserve"> MAXIMILIANO FRANCISCO</t>
  </si>
  <si>
    <t>19911524-3</t>
  </si>
  <si>
    <t>VARAS RODRIGUEZ</t>
  </si>
  <si>
    <t xml:space="preserve"> KAREN ALEJANDRA</t>
  </si>
  <si>
    <t>15870440-4</t>
  </si>
  <si>
    <t>LATORRE LATORRE</t>
  </si>
  <si>
    <t xml:space="preserve"> BEATRIZ YOLANDA</t>
  </si>
  <si>
    <t>20035652-7</t>
  </si>
  <si>
    <t>PASTEN SAEZ</t>
  </si>
  <si>
    <t xml:space="preserve"> JAVIERA ALEJANDRA</t>
  </si>
  <si>
    <t>20561662-4</t>
  </si>
  <si>
    <t>BUSTOS FIGUEROA</t>
  </si>
  <si>
    <t xml:space="preserve"> DIEGO FELIPE</t>
  </si>
  <si>
    <t>24503490-3</t>
  </si>
  <si>
    <t>COLQUE YUJRA</t>
  </si>
  <si>
    <t xml:space="preserve"> EVA JULIANA</t>
  </si>
  <si>
    <t>21619946-4</t>
  </si>
  <si>
    <t>ALVAREZ TRASLAVIÑA</t>
  </si>
  <si>
    <t xml:space="preserve"> ALBERTO RENE</t>
  </si>
  <si>
    <t>27892152-2</t>
  </si>
  <si>
    <t>JARAMILLO CORREA</t>
  </si>
  <si>
    <t xml:space="preserve"> JUAN FELIPE</t>
  </si>
  <si>
    <t>21535782-1</t>
  </si>
  <si>
    <t>YAÑEZ CORONADO</t>
  </si>
  <si>
    <t xml:space="preserve"> SOFIA MAGDALENA</t>
  </si>
  <si>
    <t>21591970-6</t>
  </si>
  <si>
    <t>MORANDE PINCHEIRA</t>
  </si>
  <si>
    <t>21465324-9</t>
  </si>
  <si>
    <t>CARMONA SANTANA</t>
  </si>
  <si>
    <t xml:space="preserve"> PILAR ANTONIA</t>
  </si>
  <si>
    <t>20586892-5</t>
  </si>
  <si>
    <t>MALEBRAN RAMIREZ</t>
  </si>
  <si>
    <t xml:space="preserve"> FELIPE ANTONIO ENRIQUE</t>
  </si>
  <si>
    <t>12380119-9</t>
  </si>
  <si>
    <t>PACHECO OLIVARES</t>
  </si>
  <si>
    <t xml:space="preserve"> VIRGINIA DE LAS MERCED</t>
  </si>
  <si>
    <t>19450460-8</t>
  </si>
  <si>
    <t>FLORES PIZARRO</t>
  </si>
  <si>
    <t xml:space="preserve"> YASNA CAMILA</t>
  </si>
  <si>
    <t>10511357-9</t>
  </si>
  <si>
    <t>CORTES VALLEJO</t>
  </si>
  <si>
    <t>21503697-9</t>
  </si>
  <si>
    <t>GONZALEZ NEIRA</t>
  </si>
  <si>
    <t xml:space="preserve"> MARIA JOSE DEL PILAR</t>
  </si>
  <si>
    <t>20411583-4</t>
  </si>
  <si>
    <t>ERAZO CARREÑO</t>
  </si>
  <si>
    <t xml:space="preserve"> NASHMIA VALENTINA</t>
  </si>
  <si>
    <t>21731295-7</t>
  </si>
  <si>
    <t>VENEGAS PONCE</t>
  </si>
  <si>
    <t xml:space="preserve"> PIA KATHALINA CONSTANZA</t>
  </si>
  <si>
    <t>15000491-8</t>
  </si>
  <si>
    <t>ALBERTI GONZALEZ</t>
  </si>
  <si>
    <t xml:space="preserve"> EVELYN EDITH</t>
  </si>
  <si>
    <t>21774497-0</t>
  </si>
  <si>
    <t>FREIRE MERCADO</t>
  </si>
  <si>
    <t xml:space="preserve"> ANTONELLA ESTEFANIA</t>
  </si>
  <si>
    <t>20551716-2</t>
  </si>
  <si>
    <t>MONTECINOS AGURTO</t>
  </si>
  <si>
    <t xml:space="preserve"> CONSTANZA CAROLINA</t>
  </si>
  <si>
    <t>26160196-6</t>
  </si>
  <si>
    <t>ALCANTARA SANCHEZ</t>
  </si>
  <si>
    <t xml:space="preserve"> DHAMAR BELEN</t>
  </si>
  <si>
    <t>20547791-8</t>
  </si>
  <si>
    <t>CARTE LEDESMA</t>
  </si>
  <si>
    <t xml:space="preserve"> DAIRA AOLANI</t>
  </si>
  <si>
    <t>22153676-2</t>
  </si>
  <si>
    <t>SANTANDER RAMOS</t>
  </si>
  <si>
    <t xml:space="preserve"> CONSTANZA NOEMY</t>
  </si>
  <si>
    <t>17470630-1</t>
  </si>
  <si>
    <t xml:space="preserve"> FRANCESCA GISELA</t>
  </si>
  <si>
    <t>27504853-4</t>
  </si>
  <si>
    <t>MOLERO CAMPUZANO</t>
  </si>
  <si>
    <t xml:space="preserve"> YULIMAR DEL CARMEN</t>
  </si>
  <si>
    <t>13636817-6</t>
  </si>
  <si>
    <t>GARATE ORMEÑO</t>
  </si>
  <si>
    <t xml:space="preserve"> GERALDINE KATHERINE</t>
  </si>
  <si>
    <t>21718902-0</t>
  </si>
  <si>
    <t>RIQUELME GALLARDO</t>
  </si>
  <si>
    <t xml:space="preserve"> SKARLETTE SASHA KHARI</t>
  </si>
  <si>
    <t>19493492-0</t>
  </si>
  <si>
    <t>FERNANDEZ MORALES</t>
  </si>
  <si>
    <t xml:space="preserve"> IGNACIA VALENTINA</t>
  </si>
  <si>
    <t>28363160-5</t>
  </si>
  <si>
    <t>MAMANI CLAROS</t>
  </si>
  <si>
    <t xml:space="preserve"> SHAMEL</t>
  </si>
  <si>
    <t>19356008-3</t>
  </si>
  <si>
    <t>VERGARA ABELLI</t>
  </si>
  <si>
    <t xml:space="preserve"> NICOLAS SEBASTIAN</t>
  </si>
  <si>
    <t>20216808-6</t>
  </si>
  <si>
    <t>SOUBLETTE TAMANI</t>
  </si>
  <si>
    <t xml:space="preserve"> NICOLAS ESTEBAN</t>
  </si>
  <si>
    <t>19148535-1</t>
  </si>
  <si>
    <t>HERNANDEZ NAHUELPAN</t>
  </si>
  <si>
    <t xml:space="preserve"> AMANDA RAQUEL</t>
  </si>
  <si>
    <t>20658256-1</t>
  </si>
  <si>
    <t>JERIA ROJAS</t>
  </si>
  <si>
    <t xml:space="preserve"> JARED GURGUEN</t>
  </si>
  <si>
    <t>19870208-0</t>
  </si>
  <si>
    <t>CORTES CARRASCO</t>
  </si>
  <si>
    <t xml:space="preserve"> MICHELLE AYLEEN</t>
  </si>
  <si>
    <t>20899203-1</t>
  </si>
  <si>
    <t>NAZAL NAZAR</t>
  </si>
  <si>
    <t xml:space="preserve"> NICOLAS ALEJANDRO</t>
  </si>
  <si>
    <t>20035783-3</t>
  </si>
  <si>
    <t>ROBLES FREDES</t>
  </si>
  <si>
    <t xml:space="preserve"> BARBARA VALERIA</t>
  </si>
  <si>
    <t>15027360-9</t>
  </si>
  <si>
    <t>CONCHA ESQUIVEL</t>
  </si>
  <si>
    <t xml:space="preserve"> CAROLINA PAULINA</t>
  </si>
  <si>
    <t>25814105-9</t>
  </si>
  <si>
    <t>MERCADO ZAMORA</t>
  </si>
  <si>
    <t xml:space="preserve"> NAYIBE ANDREA</t>
  </si>
  <si>
    <t>21950083-1</t>
  </si>
  <si>
    <t>FERNANDEZ FLORES</t>
  </si>
  <si>
    <t xml:space="preserve"> BRAYAN CLAUDIO ANTONIO</t>
  </si>
  <si>
    <t>20054716-0</t>
  </si>
  <si>
    <t>ALBORNOZ SOTOMAYOR</t>
  </si>
  <si>
    <t xml:space="preserve"> MATIAS IVAN</t>
  </si>
  <si>
    <t>21036326-2</t>
  </si>
  <si>
    <t>ALFARO VARGAS</t>
  </si>
  <si>
    <t xml:space="preserve"> NICOLE PATRICIA</t>
  </si>
  <si>
    <t>16469358-9</t>
  </si>
  <si>
    <t>FALLARIS VILLEGAS</t>
  </si>
  <si>
    <t xml:space="preserve"> KAREN ROXANA</t>
  </si>
  <si>
    <t>104167</t>
  </si>
  <si>
    <t>104168</t>
  </si>
  <si>
    <t>104195</t>
  </si>
  <si>
    <t>104197</t>
  </si>
  <si>
    <t>104249</t>
  </si>
  <si>
    <t>104250</t>
  </si>
  <si>
    <t>104312</t>
  </si>
  <si>
    <t>100017</t>
  </si>
  <si>
    <t>100033</t>
  </si>
  <si>
    <t>100043</t>
  </si>
  <si>
    <t>100073</t>
  </si>
  <si>
    <t>100078</t>
  </si>
  <si>
    <t>100080</t>
  </si>
  <si>
    <t>100083</t>
  </si>
  <si>
    <t>100089</t>
  </si>
  <si>
    <t>100312</t>
  </si>
  <si>
    <t>100328</t>
  </si>
  <si>
    <t>100345</t>
  </si>
  <si>
    <t>100376</t>
  </si>
  <si>
    <t>100413</t>
  </si>
  <si>
    <t>100506</t>
  </si>
  <si>
    <t>100569</t>
  </si>
  <si>
    <t>100637</t>
  </si>
  <si>
    <t>100714</t>
  </si>
  <si>
    <t>100743</t>
  </si>
  <si>
    <t>100745</t>
  </si>
  <si>
    <t>100749</t>
  </si>
  <si>
    <t>100781</t>
  </si>
  <si>
    <t>100888</t>
  </si>
  <si>
    <t>100904</t>
  </si>
  <si>
    <t>100910</t>
  </si>
  <si>
    <t>101020</t>
  </si>
  <si>
    <t>101026</t>
  </si>
  <si>
    <t>101036</t>
  </si>
  <si>
    <t>101075</t>
  </si>
  <si>
    <t>101117</t>
  </si>
  <si>
    <t>101169</t>
  </si>
  <si>
    <t>101190</t>
  </si>
  <si>
    <t>101196</t>
  </si>
  <si>
    <t>101210</t>
  </si>
  <si>
    <t>101216</t>
  </si>
  <si>
    <t>101282</t>
  </si>
  <si>
    <t>101283</t>
  </si>
  <si>
    <t>101298</t>
  </si>
  <si>
    <t>101303</t>
  </si>
  <si>
    <t>101349</t>
  </si>
  <si>
    <t>101351</t>
  </si>
  <si>
    <t>101482</t>
  </si>
  <si>
    <t>101487</t>
  </si>
  <si>
    <t>101500</t>
  </si>
  <si>
    <t>101503</t>
  </si>
  <si>
    <t>101661</t>
  </si>
  <si>
    <t>101718</t>
  </si>
  <si>
    <t>101794</t>
  </si>
  <si>
    <t>101898</t>
  </si>
  <si>
    <t>101940</t>
  </si>
  <si>
    <t>101943</t>
  </si>
  <si>
    <t>101993</t>
  </si>
  <si>
    <t>101995</t>
  </si>
  <si>
    <t>101998</t>
  </si>
  <si>
    <t>102006</t>
  </si>
  <si>
    <t>102036</t>
  </si>
  <si>
    <t>102043</t>
  </si>
  <si>
    <t>102053</t>
  </si>
  <si>
    <t>102132</t>
  </si>
  <si>
    <t>102250</t>
  </si>
  <si>
    <t>102325</t>
  </si>
  <si>
    <t>102330</t>
  </si>
  <si>
    <t>102416</t>
  </si>
  <si>
    <t>102425</t>
  </si>
  <si>
    <t>102426</t>
  </si>
  <si>
    <t>102428</t>
  </si>
  <si>
    <t>102453</t>
  </si>
  <si>
    <t>102478</t>
  </si>
  <si>
    <t>102480</t>
  </si>
  <si>
    <t>102490</t>
  </si>
  <si>
    <t>102500</t>
  </si>
  <si>
    <t>102501</t>
  </si>
  <si>
    <t>102502</t>
  </si>
  <si>
    <t>102505</t>
  </si>
  <si>
    <t>102506</t>
  </si>
  <si>
    <t>102515</t>
  </si>
  <si>
    <t>102538</t>
  </si>
  <si>
    <t>102552</t>
  </si>
  <si>
    <t>102571</t>
  </si>
  <si>
    <t>102581</t>
  </si>
  <si>
    <t>102585</t>
  </si>
  <si>
    <t>102607</t>
  </si>
  <si>
    <t>102651</t>
  </si>
  <si>
    <t>102654</t>
  </si>
  <si>
    <t>102660</t>
  </si>
  <si>
    <t>102661</t>
  </si>
  <si>
    <t>102688</t>
  </si>
  <si>
    <t>102718</t>
  </si>
  <si>
    <t>102722</t>
  </si>
  <si>
    <t>102723</t>
  </si>
  <si>
    <t>102770</t>
  </si>
  <si>
    <t>102792</t>
  </si>
  <si>
    <t>102793</t>
  </si>
  <si>
    <t>102817</t>
  </si>
  <si>
    <t>102820</t>
  </si>
  <si>
    <t>102822</t>
  </si>
  <si>
    <t>102823</t>
  </si>
  <si>
    <t>102826</t>
  </si>
  <si>
    <t>102853</t>
  </si>
  <si>
    <t>102889</t>
  </si>
  <si>
    <t>102905</t>
  </si>
  <si>
    <t>102906</t>
  </si>
  <si>
    <t>102913</t>
  </si>
  <si>
    <t>102914</t>
  </si>
  <si>
    <t>102917</t>
  </si>
  <si>
    <t>102918</t>
  </si>
  <si>
    <t>102924</t>
  </si>
  <si>
    <t>102937</t>
  </si>
  <si>
    <t>102955</t>
  </si>
  <si>
    <t>102974</t>
  </si>
  <si>
    <t>102989</t>
  </si>
  <si>
    <t>102992</t>
  </si>
  <si>
    <t>103006</t>
  </si>
  <si>
    <t>103007</t>
  </si>
  <si>
    <t>103017</t>
  </si>
  <si>
    <t>103019</t>
  </si>
  <si>
    <t>103038</t>
  </si>
  <si>
    <t>103069</t>
  </si>
  <si>
    <t>103071</t>
  </si>
  <si>
    <t>103117</t>
  </si>
  <si>
    <t>103121</t>
  </si>
  <si>
    <t>103123</t>
  </si>
  <si>
    <t>103125</t>
  </si>
  <si>
    <t>103131</t>
  </si>
  <si>
    <t>103141</t>
  </si>
  <si>
    <t>103150</t>
  </si>
  <si>
    <t>103177</t>
  </si>
  <si>
    <t>103186</t>
  </si>
  <si>
    <t>103281</t>
  </si>
  <si>
    <t>103302</t>
  </si>
  <si>
    <t>103380</t>
  </si>
  <si>
    <t>103384</t>
  </si>
  <si>
    <t>103395</t>
  </si>
  <si>
    <t>103410</t>
  </si>
  <si>
    <t>103417</t>
  </si>
  <si>
    <t>103510</t>
  </si>
  <si>
    <t>103525</t>
  </si>
  <si>
    <t>103545</t>
  </si>
  <si>
    <t>103573</t>
  </si>
  <si>
    <t>103627</t>
  </si>
  <si>
    <t>103628</t>
  </si>
  <si>
    <t>103639</t>
  </si>
  <si>
    <t>103670</t>
  </si>
  <si>
    <t>103700</t>
  </si>
  <si>
    <t>103719</t>
  </si>
  <si>
    <t>103727</t>
  </si>
  <si>
    <t>103733</t>
  </si>
  <si>
    <t>103735</t>
  </si>
  <si>
    <t>103769</t>
  </si>
  <si>
    <t>103800</t>
  </si>
  <si>
    <t>103833</t>
  </si>
  <si>
    <t>103841</t>
  </si>
  <si>
    <t>103851</t>
  </si>
  <si>
    <t>103852</t>
  </si>
  <si>
    <t>103856</t>
  </si>
  <si>
    <t>103861</t>
  </si>
  <si>
    <t>103869</t>
  </si>
  <si>
    <t>103937</t>
  </si>
  <si>
    <t>103948</t>
  </si>
  <si>
    <t>103954</t>
  </si>
  <si>
    <t>103956</t>
  </si>
  <si>
    <t>103969</t>
  </si>
  <si>
    <t>103979</t>
  </si>
  <si>
    <t>103999</t>
  </si>
  <si>
    <t>104039</t>
  </si>
  <si>
    <t>104057</t>
  </si>
  <si>
    <t>104062</t>
  </si>
  <si>
    <t>104076</t>
  </si>
  <si>
    <t>104118</t>
  </si>
  <si>
    <t>104119</t>
  </si>
  <si>
    <t>104122</t>
  </si>
  <si>
    <t>104128</t>
  </si>
  <si>
    <t>104132</t>
  </si>
  <si>
    <t>104156</t>
  </si>
  <si>
    <t>104157</t>
  </si>
  <si>
    <t>104163</t>
  </si>
  <si>
    <t>104164</t>
  </si>
  <si>
    <t>104171</t>
  </si>
  <si>
    <t>104173</t>
  </si>
  <si>
    <t>104174</t>
  </si>
  <si>
    <t>104175</t>
  </si>
  <si>
    <t>104177</t>
  </si>
  <si>
    <t>104181</t>
  </si>
  <si>
    <t>104188</t>
  </si>
  <si>
    <t>104193</t>
  </si>
  <si>
    <t>104214</t>
  </si>
  <si>
    <t>104215</t>
  </si>
  <si>
    <t>104234</t>
  </si>
  <si>
    <t>104245</t>
  </si>
  <si>
    <t>104246</t>
  </si>
  <si>
    <t>104247</t>
  </si>
  <si>
    <t>104258</t>
  </si>
  <si>
    <t>104277</t>
  </si>
  <si>
    <t>104278</t>
  </si>
  <si>
    <t>104279</t>
  </si>
  <si>
    <t>104283</t>
  </si>
  <si>
    <t>104297</t>
  </si>
  <si>
    <t>104299</t>
  </si>
  <si>
    <t>104303</t>
  </si>
  <si>
    <t>104311</t>
  </si>
  <si>
    <t>LMOROSO@CL.LUCKIA.COM</t>
  </si>
  <si>
    <t>JAMUNOZ@CL.LUCKIA.COM</t>
  </si>
  <si>
    <t>HCHAMBE@CL.LUCKIA.COM</t>
  </si>
  <si>
    <t>CGSALDIVIA@CL.LUCKIA.COM</t>
  </si>
  <si>
    <t>JPOBLETE@CL.LUCKIA.COM</t>
  </si>
  <si>
    <t>LESPINOZA@CL.LUCKIA.COM</t>
  </si>
  <si>
    <t>TJOHNSON@CL.LUCKIA.COM</t>
  </si>
  <si>
    <t>ALBERTO.LIBERONA@ANTAYHOTELES.CL</t>
  </si>
  <si>
    <t>OLIVIABEATRIZ.CASTILLO@ANTAYHOTELES.CL</t>
  </si>
  <si>
    <t>MARTA.OLIVARES@ANTAYHOTELES.CL</t>
  </si>
  <si>
    <t>PAULA.RAMIREZ@ANTAYHOTELES.CL</t>
  </si>
  <si>
    <t>HUGOANTONIO.MORALES@ANTAYHOTELES.CL</t>
  </si>
  <si>
    <t>CARMEN.OLMEDO@ANTAYHOTELES.CL</t>
  </si>
  <si>
    <t>LIDIA.GOMEZ@ANTAYHOTELES.CL</t>
  </si>
  <si>
    <t>CORINA.ROJAS@ANTAYHOTELES.CL</t>
  </si>
  <si>
    <t>XIMENA.PIZARRO@ANTAYHOTELES.CL</t>
  </si>
  <si>
    <t>GABRIELA.CRUZ@ANTAYHOTELES.CL</t>
  </si>
  <si>
    <t>LOURDES.LEON@ANTAYHOTELES.CL</t>
  </si>
  <si>
    <t>DIANAESTEFANY.RIQUEL@ANTAYHOTELES.CL</t>
  </si>
  <si>
    <t>FRANCISCO.GODOY@ANTAYHOTELES.CL</t>
  </si>
  <si>
    <t>ORLANDO.FLORES@ANTAYHOTELES.CL</t>
  </si>
  <si>
    <t>SSAAVEDRA@ANTAYHOTELES.CL</t>
  </si>
  <si>
    <t>FRESIA.ROJAS@ANTAYHOTELES.CL</t>
  </si>
  <si>
    <t>RICARDO.GANA@ANTAYHOTELES.CL</t>
  </si>
  <si>
    <t>MAURICIO.GONZALEZ@ANTAYHOTELES.CL</t>
  </si>
  <si>
    <t>YGGONZALEZ@ANTAYHOTELES.CL</t>
  </si>
  <si>
    <t>LALVAYAI@ANTAYHOTELES.CL</t>
  </si>
  <si>
    <t>FRANCISCOALBERTO.SANTANDER@ANTAYHOTELES.CL</t>
  </si>
  <si>
    <t>CECILIADELTRANSITO.GOMEZ@ANTAYHOTELES.CL</t>
  </si>
  <si>
    <t>GARAVENA@ANTAYHOTELES.CL</t>
  </si>
  <si>
    <t>MARTINARMANDO.ROCO@ANTAYHOTELES.CL</t>
  </si>
  <si>
    <t>ANDREAJAVIERA.NEIRA@ANTAYHOTELES.CL</t>
  </si>
  <si>
    <t>GARQUEROS@ANTAYHOTELES.CL</t>
  </si>
  <si>
    <t>MARIA.LAGOS@ANTAYHOTELES.CL</t>
  </si>
  <si>
    <t>HELGACRISTINA.MOYA@ANTAYHOTELES.CL</t>
  </si>
  <si>
    <t>OALZATE@ANTAYHOTELES.CL</t>
  </si>
  <si>
    <t>JDIAZ@ANTAYHOTELES.CL</t>
  </si>
  <si>
    <t>JETSONELIAS.CONTRERAS@ANTAYHOTELES.CL</t>
  </si>
  <si>
    <t>RENEGUILLERMO.ARISPE@ANTAYHOTELES.CL</t>
  </si>
  <si>
    <t>MARISOL.LAIME@ANTAYHOTELES.CL</t>
  </si>
  <si>
    <t>DANIELAJAVIERA.HERNANDEZ@ANTAYHOTELES.CL</t>
  </si>
  <si>
    <t>RICARDO.MONCADA@ANTAYHOTELES.CL</t>
  </si>
  <si>
    <t>ELIANACATERINE.MONTENEGRO@ANTAYHOTELES.CL</t>
  </si>
  <si>
    <t>KATHERINE.RIVERA@ANTAYHOTELES.CL</t>
  </si>
  <si>
    <t>FUGALDE@ANTAYHOTELES.CL</t>
  </si>
  <si>
    <t>ANDREA.LEAL@ANTAYHOTELES.CL</t>
  </si>
  <si>
    <t>LEIDYDAYANA.BECERRA@ANTAYHOTELES.CL</t>
  </si>
  <si>
    <t>JACQUELINEJEANNETTE.BARAHONA@ANTAYHOTELES.CL</t>
  </si>
  <si>
    <t>GUILLERMO.ALANIS@CL.LUCKIA.COM</t>
  </si>
  <si>
    <t>NATHALIEARACELY.BELTRAN@ANTAYHOTELES.CL</t>
  </si>
  <si>
    <t>CAMILAISABEL.ALVAREZ@ANTAYHOTELES.CL</t>
  </si>
  <si>
    <t>FACEITUNO@ANTAYHOTELES.CL</t>
  </si>
  <si>
    <t>DFRITIS@ANTAYHOTELES.CL</t>
  </si>
  <si>
    <t>NCHURA@ANTAYHOTELES.CL</t>
  </si>
  <si>
    <t>APBACHO@ANTAYHOTELES.CL</t>
  </si>
  <si>
    <t>UFRITIS@ANTAYHOTELES.CL</t>
  </si>
  <si>
    <t>JAJHUACHO@ANTAYHOTELES.CL</t>
  </si>
  <si>
    <t>MCISTERNAS@ANTAYHOTELES.CL</t>
  </si>
  <si>
    <t>DPARRA@ANTAYHOTELES.CL</t>
  </si>
  <si>
    <t>CJELVEZ@ANTAYHOTELES.CL</t>
  </si>
  <si>
    <t>JVVICENCIO@ANTAYHOTELES.CL</t>
  </si>
  <si>
    <t>BENRIQUEZ@ANTAYHOTELES.CL</t>
  </si>
  <si>
    <t>EURRUTIA@ANTAYHOTELES.CL</t>
  </si>
  <si>
    <t>DACORTES@ANTAYHOTELES.CL</t>
  </si>
  <si>
    <t>ABENITES@ANTAYHOTELES.CL</t>
  </si>
  <si>
    <t>CCABRERA@ANTAYHOTELES.CL</t>
  </si>
  <si>
    <t>JBARRERA@ANTAYHOTELES.CL</t>
  </si>
  <si>
    <t>NMOSQUERA@ANTAYHOTELES.CL</t>
  </si>
  <si>
    <t>CTORRES@ANTAYHOTELES.CL</t>
  </si>
  <si>
    <t>ACONTRERAS@ANTAYHOTELES.CL</t>
  </si>
  <si>
    <t>LGRAJALES@ANTAYHOTELES.CL</t>
  </si>
  <si>
    <t>CALARCON@ANTAYHOTELES.CL</t>
  </si>
  <si>
    <t>AGARRIDO@ANTAYHOTELES.CL</t>
  </si>
  <si>
    <t>ABOLIVAR@ANTAYHOTELES.CL</t>
  </si>
  <si>
    <t>BCAMPOS@ANTAYHOTELES.CL</t>
  </si>
  <si>
    <t>RCUBILLOS@ANTAYHOTELES.CL</t>
  </si>
  <si>
    <t>GSALAMANCA@ANTAYHOTELES.CL</t>
  </si>
  <si>
    <t>SCORREA@ANTAYHOTELES.CL</t>
  </si>
  <si>
    <t>DSTIPELCOVIC@ANTAYHOTELES.CL</t>
  </si>
  <si>
    <t>DALAMOS@ANTAYHOTELES.CL</t>
  </si>
  <si>
    <t>NOGALLARDO@ANTAYHOTELES.CL</t>
  </si>
  <si>
    <t>CALQUINTA@ANTAYHOTELES.CL</t>
  </si>
  <si>
    <t>AYANEZ@ANTAYHOTELES.CL</t>
  </si>
  <si>
    <t>MOSSES@ANTAYHOTELES.CL</t>
  </si>
  <si>
    <t>IMAMANI@ANTAYHOTELES.CL</t>
  </si>
  <si>
    <t>DGORDILLO@ANTAYHOTELES.CL</t>
  </si>
  <si>
    <t>KESTAY@ANTAYHOTELES.CL</t>
  </si>
  <si>
    <t>MCCONTRERAS@ANTAYHOTELES.CL</t>
  </si>
  <si>
    <t>SGCHIRINOS@ANTAYHOTELES.CL</t>
  </si>
  <si>
    <t>JIBACACHE@ANTAYHOTELES.CL</t>
  </si>
  <si>
    <t>STOBAR@ANTAYHOTELES.CL</t>
  </si>
  <si>
    <t>TACEVEDO@ANTAYHOTELES.CL</t>
  </si>
  <si>
    <t>CEGALLEGUILL@ANTAYHOTELES.CL</t>
  </si>
  <si>
    <t>PCLEDESMA@ANTAYHOTELES.CL</t>
  </si>
  <si>
    <t>CFRITIS@ANTAYHOTELES.CL</t>
  </si>
  <si>
    <t>MALARCON@ANTAYHOTELES.CL</t>
  </si>
  <si>
    <t>VDIAZ@ANTAYHOTELES.CL</t>
  </si>
  <si>
    <t>ABORDONES@ANTAYHOTELES.CL</t>
  </si>
  <si>
    <t>CHEREIDA@ANTAYHOTELES.CL</t>
  </si>
  <si>
    <t>MBARRETO@ANTAYHOTELES.CL</t>
  </si>
  <si>
    <t>RREYNOSO@ANTAYHOTELES.CL</t>
  </si>
  <si>
    <t>DNUNEZ@ANTAYHOTELES.CL</t>
  </si>
  <si>
    <t>AESPINOZA@CL.LUCKIA.COM</t>
  </si>
  <si>
    <t>CSGUEVARA@ANTAYHOTELES.CL</t>
  </si>
  <si>
    <t>MARANCIBIA@ANTAYHOTELES.CL</t>
  </si>
  <si>
    <t>FLEMOS@ANTAYHOTELES.CL</t>
  </si>
  <si>
    <t>EALFARO@ANTAYHOTELES.CL</t>
  </si>
  <si>
    <t>RLOAIZA@ANTAYHOTELES.CL</t>
  </si>
  <si>
    <t>CGARATE@ANTAYHOTELES.CL</t>
  </si>
  <si>
    <t>JSILVA@ANTAYHOTELES.CL</t>
  </si>
  <si>
    <t>JANZOLA@ANTAYHOTELES.CL</t>
  </si>
  <si>
    <t>DFARFAN@ANTAYHOTELES.CL</t>
  </si>
  <si>
    <t>VLARA@ANTAYHOTELES.CL</t>
  </si>
  <si>
    <t>DGUERRA@ANTAYHOTELES.CL</t>
  </si>
  <si>
    <t>MELIAS@ANTAYHOTELES.CL</t>
  </si>
  <si>
    <t>SASTUDILLO@ANTAYHOTELES.CL</t>
  </si>
  <si>
    <t>KCORTES@ANTAYHOTELES.CL</t>
  </si>
  <si>
    <t>SRCASTRO@ANTAYHOTELES.CL</t>
  </si>
  <si>
    <t>ETOLA@ANTAYHOTELES.CL</t>
  </si>
  <si>
    <t>VCANIVILO@ANTAYHOTELES.CL</t>
  </si>
  <si>
    <t>ALDELAIGUE@ANTAYHOTELES.CL</t>
  </si>
  <si>
    <t>EYANSAGUANO@ANTAYHOTELES.CL</t>
  </si>
  <si>
    <t>OFREDES@ANTAYHOTELES.CL</t>
  </si>
  <si>
    <t>ICARDENAS@ANTAYHOTELES.CL</t>
  </si>
  <si>
    <t>MMTAPIA@ANTAYHOTELES.CL</t>
  </si>
  <si>
    <t>LCUELLAR@CL.LUCKIA.COM</t>
  </si>
  <si>
    <t>MGSANTOS@CL.LUCKIA.COM</t>
  </si>
  <si>
    <t>MJAIME@ANTAYHOTELES.CL</t>
  </si>
  <si>
    <t>LMARAMBIO@ANTAYHOTELES.CL</t>
  </si>
  <si>
    <t>GPPIZARRO@ANTAYHOTELES.CL</t>
  </si>
  <si>
    <t>RLUNA@ANTAYHOTELES.CL</t>
  </si>
  <si>
    <t>KVISCAYA@ANTAYHOTELES.CL</t>
  </si>
  <si>
    <t>MOTONDO@ANTAYHOTELES.CL</t>
  </si>
  <si>
    <t>JEESPINOZA@ANTAYHOTELES.CL</t>
  </si>
  <si>
    <t>NCMANCILLA@ANTAYHOTELES.CL</t>
  </si>
  <si>
    <t>RPNUNEZ@ANTAYHOTELES.CL</t>
  </si>
  <si>
    <t>RRNAVEAS@ANTAYHOTELES.CL</t>
  </si>
  <si>
    <t>MMURILLO@ANTAYHOTELES.CL</t>
  </si>
  <si>
    <t>FVILLARROEL@ANTAYHOTELES.CL</t>
  </si>
  <si>
    <t>CMDIAZ@ANTAYHOTELES.CL</t>
  </si>
  <si>
    <t>YVALVERDE@ANTAYHOTELES.CL</t>
  </si>
  <si>
    <t>JPGODOY@ANTAYHOTELES.CL</t>
  </si>
  <si>
    <t>MESPINOZAG@ANTAYHOTELES.CL</t>
  </si>
  <si>
    <t>ALLAVE@ANTAYHOTELES.CL</t>
  </si>
  <si>
    <t>JZAVALETA@ANTAYHOTELES.CL</t>
  </si>
  <si>
    <t>JRIVEROS@ANTAYHOTELES.CL</t>
  </si>
  <si>
    <t>LMONTANO@CL.LUCKIA.COM</t>
  </si>
  <si>
    <t>LVRAMIREZ@ANTAYHOTELES.CL</t>
  </si>
  <si>
    <t>JFARTEAGA@ANTAYHOTELES.CL</t>
  </si>
  <si>
    <t>JACARMONA@ANTAYHOTELES.CL</t>
  </si>
  <si>
    <t>RSABOGAL@ANTAYHOTELES.CL</t>
  </si>
  <si>
    <t>NBARRAZA@ANTAYHOTELES.CL</t>
  </si>
  <si>
    <t>AJARAMILLO@ANTAYHOTELES.CL</t>
  </si>
  <si>
    <t>AANTIQUERA@ANTAYHOTELES.CL</t>
  </si>
  <si>
    <t>BALCOTA@ANTAYHOTELES.CL</t>
  </si>
  <si>
    <t>MVBRICENO@ANTAYHOTELES.CL</t>
  </si>
  <si>
    <t>IMIRANDA@ANTAYHOTELES.CL</t>
  </si>
  <si>
    <t>CLEDEZMA@ANTAYHOTELES.CL</t>
  </si>
  <si>
    <t>MOLAYA@ANTAYHOTELES.CL</t>
  </si>
  <si>
    <t>ICERDA@ANTAYHOTELES.CL</t>
  </si>
  <si>
    <t>MJMUNOZ@ANTAYHOTELES.CL</t>
  </si>
  <si>
    <t>LMEJIA@ANTAYHOTELES.CL</t>
  </si>
  <si>
    <t>LZLLANCAMIL@ANTAYHOTELES.CL</t>
  </si>
  <si>
    <t>TAMIRANDA@ANTAYHOTELES.CL</t>
  </si>
  <si>
    <t>MUSUAREZ@ANTAYHOTELES.CL</t>
  </si>
  <si>
    <t>KVARAS@ANTAYHOTELES.CL</t>
  </si>
  <si>
    <t>BLATORRE@ANTAYHOTELES.CL</t>
  </si>
  <si>
    <t>JPASTEN@ANTAYHOTELES.CL</t>
  </si>
  <si>
    <t>DBUSTOS@ANTAYHOTELES.CL</t>
  </si>
  <si>
    <t>ECOLQUE@ANTAYHOTELES.CL</t>
  </si>
  <si>
    <t>AATRASLAVINA@ANTAYHOTELES.CL</t>
  </si>
  <si>
    <t>JJARAMILLO@ANTAYHOTELES.CL</t>
  </si>
  <si>
    <t>SYCORONADO@ANTAYHOTELES.CL</t>
  </si>
  <si>
    <t>JMORANDE@ANTAYHOTELES.CL</t>
  </si>
  <si>
    <t>PCARMONA@ANTAYHOTELES.CL</t>
  </si>
  <si>
    <t>FMALEBRAN@ANTAYHOTELES.CL</t>
  </si>
  <si>
    <t>VPACHECO@ANTAYHOTELES.CL</t>
  </si>
  <si>
    <t>YFPIZARRO@ANTAYHOTELES.CL</t>
  </si>
  <si>
    <t>KCVALLEJO@ANTAYHOTELES.CL</t>
  </si>
  <si>
    <t>MGNEIRA@ANTAYHOTELES.CL</t>
  </si>
  <si>
    <t>NERAZO@ANTAYHOTELES.CL</t>
  </si>
  <si>
    <t>PVENEGAS@ANTAYHOTELES.CL</t>
  </si>
  <si>
    <t>EALBERTI@ANTAYHOTELES.CL</t>
  </si>
  <si>
    <t>AFMERCADO@ANTAYHOTELES.CL</t>
  </si>
  <si>
    <t>CMAGURTO@ANTAYHOTELES.CL</t>
  </si>
  <si>
    <t>DALCANTARA@ANTAYHOTELES.CL</t>
  </si>
  <si>
    <t>DCARTE@ANTAYHOTELES.CL</t>
  </si>
  <si>
    <t>CSANTANDER@ANTAYHOTELES.CL</t>
  </si>
  <si>
    <t>FRIVERA@ANTAYHOTELES.CL</t>
  </si>
  <si>
    <t>YMOLERO@ANTAYHOTELES.CL</t>
  </si>
  <si>
    <t>GGARATE@ANTAYHOTELES.CL</t>
  </si>
  <si>
    <t>SRIQUELME@ANTAYHOTELES.CL</t>
  </si>
  <si>
    <t>IFMORALES@ANTAYHOTELES.CL</t>
  </si>
  <si>
    <t>SMAMANI@ANTAYHOTELES.CL</t>
  </si>
  <si>
    <t>NVERGARA@ANTAYHOTELES.CL</t>
  </si>
  <si>
    <t>NSOUBLETTE@ANTAYHOTELES.CL</t>
  </si>
  <si>
    <t>AHNAHUELPAN@ANTAYHOTELES.CL</t>
  </si>
  <si>
    <t>JJERIA@ANTAYHOTELES.CL</t>
  </si>
  <si>
    <t>MCCARRASCO@ANTAYHOTELES.CL</t>
  </si>
  <si>
    <t>NNAZAL@ANTAYHOTELES.CL</t>
  </si>
  <si>
    <t>BROBLES@ANTAYHOTELES.CL</t>
  </si>
  <si>
    <t>CCONCHA@ANTAYHOTELES.CL</t>
  </si>
  <si>
    <t>NMERCADO@ANTAYHOTELES.CL</t>
  </si>
  <si>
    <t>BFFLORES@ANTAYHOTELES.CL</t>
  </si>
  <si>
    <t>MALBORNOZ@ANTAYHOTELES.CL</t>
  </si>
  <si>
    <t>NALFARO@ANTAYHOTELES.CL</t>
  </si>
  <si>
    <t>KFALLARIS@ANTAYHOTELES.CL</t>
  </si>
  <si>
    <t>SEPTIEMBRE</t>
  </si>
  <si>
    <t>Pasteleria</t>
  </si>
  <si>
    <t>Cultura Luckia</t>
  </si>
  <si>
    <t>Ronald Robert</t>
  </si>
  <si>
    <t>Manejo de cliente dificil</t>
  </si>
  <si>
    <t>Lenguaje no Verbal</t>
  </si>
  <si>
    <t>Talentsoluctions</t>
  </si>
  <si>
    <t>Resumen Anual de FORMACIÓN:  2025</t>
  </si>
  <si>
    <t>20473731-2</t>
  </si>
  <si>
    <t>MARTINEZ BRAVO</t>
  </si>
  <si>
    <t>MICHELLE</t>
  </si>
  <si>
    <t>MMBRAVO@CL.LUCKIA.COM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</si>
</sst>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d\-mmm;@"/>
    <numFmt numFmtId="165" formatCode="_-* #,##0.00\ [$€-C0A]_-;\-* #,##0.00\ [$€-C0A]_-;_-* &quot;-&quot;??\ [$€-C0A]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4"/>
      <color theme="5" tint="-0.249977111117893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5" tint="-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49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1454817346722"/>
      </left>
      <right style="thin">
        <color theme="5" tint="0.39991454817346722"/>
      </right>
      <top style="thin">
        <color theme="5" tint="0.39991454817346722"/>
      </top>
      <bottom/>
      <diagonal/>
    </border>
    <border>
      <left style="thin">
        <color theme="5" tint="0.39991454817346722"/>
      </left>
      <right style="thin">
        <color theme="5" tint="0.399914548173467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2" fillId="3" borderId="0" xfId="0" applyNumberFormat="1" applyFont="1" applyFill="1" applyAlignment="1">
      <alignment horizontal="center"/>
    </xf>
    <xf numFmtId="14" fontId="2" fillId="3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0" fillId="0" borderId="3" xfId="0" applyBorder="1"/>
    <xf numFmtId="0" fontId="11" fillId="5" borderId="3" xfId="1" applyFill="1" applyBorder="1" applyAlignment="1">
      <alignment vertical="center" wrapText="1"/>
    </xf>
    <xf numFmtId="0" fontId="11" fillId="0" borderId="3" xfId="1" applyBorder="1"/>
    <xf numFmtId="0" fontId="0" fillId="4" borderId="3" xfId="0" applyFill="1" applyBorder="1"/>
    <xf numFmtId="0" fontId="12" fillId="0" borderId="0" xfId="0" applyFont="1"/>
    <xf numFmtId="0" fontId="13" fillId="0" borderId="0" xfId="0" applyFont="1"/>
    <xf numFmtId="0" fontId="0" fillId="3" borderId="0" xfId="0" applyFill="1"/>
    <xf numFmtId="0" fontId="4" fillId="2" borderId="1" xfId="0" applyFont="1" applyFill="1" applyBorder="1" applyAlignment="1">
      <alignment vertical="center" wrapText="1"/>
    </xf>
    <xf numFmtId="165" fontId="0" fillId="0" borderId="0" xfId="0" applyNumberFormat="1"/>
    <xf numFmtId="2" fontId="0" fillId="0" borderId="0" xfId="0" applyNumberFormat="1"/>
    <xf numFmtId="0" fontId="11" fillId="0" borderId="0" xfId="1"/>
    <xf numFmtId="14" fontId="0" fillId="3" borderId="0" xfId="0" applyNumberFormat="1" applyFill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FFCCCC"/>
      <color rgb="FFE24912"/>
      <color rgb="FFF8BB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10581</xdr:colOff>
      <xdr:row>0</xdr:row>
      <xdr:rowOff>84667</xdr:rowOff>
    </xdr:from>
    <xdr:to>
      <xdr:col>2</xdr:col>
      <xdr:colOff>1215721</xdr:colOff>
      <xdr:row>2</xdr:row>
      <xdr:rowOff>52867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37F0BD-77DE-4203-AB4D-E9AD357AC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5831" y="84667"/>
          <a:ext cx="1195615" cy="3492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elia Ares Bouza" id="{358C2BA0-4E3F-4C24-B1FB-90C9D268CBBB}" userId="S::cares@luckia.com::e07d79c9-4a92-4c97-98c5-9805186f266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MBRAVO@CL.LUCKIA.COM" TargetMode="External"/><Relationship Id="rId2" Type="http://schemas.openxmlformats.org/officeDocument/2006/relationships/hyperlink" Target="mailto:BGLOBOS@ANTAYHOTELES.CL" TargetMode="External"/><Relationship Id="rId1" Type="http://schemas.openxmlformats.org/officeDocument/2006/relationships/hyperlink" Target="mailto:VZUMARAN@ANTAYHOTELES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C013-8D79-4AAB-909E-B4CB7350CFEB}">
  <sheetPr>
    <pageSetUpPr fitToPage="1"/>
  </sheetPr>
  <dimension ref="A1:T165"/>
  <sheetViews>
    <sheetView zoomScale="85" zoomScaleNormal="85" workbookViewId="0">
      <pane ySplit="5" topLeftCell="A57" activePane="bottomLeft" state="frozen"/>
      <selection pane="bottomLeft" activeCell="A80" sqref="A76:A80"/>
    </sheetView>
  </sheetViews>
  <sheetFormatPr baseColWidth="10" defaultColWidth="11.42578125" defaultRowHeight="15" x14ac:dyDescent="0.25"/>
  <cols>
    <col min="1" max="1" width="5.7109375" customWidth="1"/>
    <col min="2" max="2" width="14.28515625" style="2" customWidth="1"/>
    <col min="3" max="3" width="87.5703125" style="15" bestFit="1" customWidth="1"/>
    <col min="4" max="4" width="13.7109375" style="2" customWidth="1"/>
    <col min="5" max="6" width="8.5703125" style="9" customWidth="1"/>
    <col min="7" max="7" width="15.42578125" style="2" customWidth="1"/>
    <col min="8" max="9" width="13.28515625" style="2" customWidth="1"/>
    <col min="10" max="10" width="21.42578125" style="2" customWidth="1"/>
    <col min="11" max="11" width="42.7109375" style="14" bestFit="1" customWidth="1"/>
    <col min="12" max="14" width="9.7109375" style="2" customWidth="1"/>
    <col min="15" max="15" width="15.5703125" bestFit="1" customWidth="1"/>
    <col min="16" max="18" width="13.28515625" style="2" customWidth="1"/>
    <col min="19" max="19" width="69.140625" bestFit="1" customWidth="1"/>
    <col min="20" max="20" width="22.42578125" bestFit="1" customWidth="1"/>
  </cols>
  <sheetData>
    <row r="1" spans="1:20" x14ac:dyDescent="0.25">
      <c r="B1" s="5"/>
      <c r="C1" s="17"/>
      <c r="D1" s="5"/>
      <c r="E1" s="7"/>
      <c r="F1" s="7"/>
      <c r="G1" s="5"/>
      <c r="H1" s="5"/>
      <c r="I1" s="5"/>
      <c r="J1" s="5"/>
      <c r="K1" s="12"/>
      <c r="L1" s="5"/>
      <c r="M1" s="5"/>
      <c r="N1" s="5"/>
      <c r="O1" s="33"/>
      <c r="P1" s="19"/>
      <c r="Q1" s="3"/>
      <c r="R1" s="3"/>
    </row>
    <row r="2" spans="1:20" x14ac:dyDescent="0.25">
      <c r="B2" s="5"/>
      <c r="C2" s="17"/>
      <c r="D2" s="5"/>
      <c r="E2" s="7"/>
      <c r="F2" s="7"/>
      <c r="G2" s="5"/>
      <c r="H2" s="5"/>
      <c r="I2" s="5"/>
      <c r="J2" s="5"/>
      <c r="K2" s="12"/>
      <c r="L2" s="5"/>
      <c r="M2" s="5"/>
      <c r="N2" s="5"/>
      <c r="O2" s="33"/>
      <c r="P2" s="19"/>
      <c r="Q2" s="4"/>
      <c r="R2" s="4"/>
    </row>
    <row r="3" spans="1:20" ht="18.75" x14ac:dyDescent="0.3">
      <c r="B3" s="5"/>
      <c r="C3" s="18" t="s">
        <v>2988</v>
      </c>
      <c r="D3" s="13"/>
      <c r="E3" s="8"/>
      <c r="F3" s="8"/>
      <c r="G3" s="10"/>
      <c r="H3" s="10"/>
      <c r="I3" s="10"/>
      <c r="J3" s="10"/>
      <c r="K3" s="13"/>
      <c r="L3" s="5"/>
      <c r="M3" s="5"/>
      <c r="N3" s="5"/>
      <c r="O3" s="33"/>
      <c r="P3" s="38"/>
      <c r="Q3" s="38"/>
      <c r="R3"/>
    </row>
    <row r="4" spans="1:20" x14ac:dyDescent="0.25">
      <c r="B4" s="5"/>
      <c r="C4" s="17"/>
      <c r="D4" s="5"/>
      <c r="E4" s="7"/>
      <c r="F4" s="7"/>
      <c r="G4" s="5"/>
      <c r="H4" s="5"/>
      <c r="I4" s="5"/>
      <c r="J4" s="5"/>
      <c r="K4" s="12"/>
      <c r="L4" s="5"/>
      <c r="M4" s="5"/>
      <c r="N4" s="5"/>
      <c r="O4" s="33"/>
      <c r="P4" s="5"/>
      <c r="Q4" s="11"/>
      <c r="R4" s="11"/>
      <c r="S4" t="s">
        <v>1890</v>
      </c>
      <c r="T4">
        <v>1074.1500000000001</v>
      </c>
    </row>
    <row r="5" spans="1:20" ht="45" customHeight="1" x14ac:dyDescent="0.25">
      <c r="A5" s="1" t="s">
        <v>35</v>
      </c>
      <c r="B5" s="1" t="s">
        <v>0</v>
      </c>
      <c r="C5" s="1" t="s">
        <v>14</v>
      </c>
      <c r="D5" s="1" t="s">
        <v>1</v>
      </c>
      <c r="E5" s="6" t="s">
        <v>2</v>
      </c>
      <c r="F5" s="6" t="s">
        <v>3</v>
      </c>
      <c r="G5" s="1" t="s">
        <v>4</v>
      </c>
      <c r="H5" s="1" t="s">
        <v>5</v>
      </c>
      <c r="I5" s="1" t="s">
        <v>15</v>
      </c>
      <c r="J5" s="1" t="s">
        <v>16</v>
      </c>
      <c r="K5" s="1" t="s">
        <v>6</v>
      </c>
      <c r="L5" s="1" t="s">
        <v>7</v>
      </c>
      <c r="M5" s="1" t="s">
        <v>8</v>
      </c>
      <c r="N5" s="1" t="s">
        <v>17</v>
      </c>
      <c r="O5" s="34" t="s">
        <v>22</v>
      </c>
      <c r="P5" s="6" t="s">
        <v>9</v>
      </c>
      <c r="Q5" s="6" t="s">
        <v>10</v>
      </c>
      <c r="R5" s="16" t="s">
        <v>11</v>
      </c>
    </row>
    <row r="6" spans="1:20" x14ac:dyDescent="0.25">
      <c r="A6">
        <v>1</v>
      </c>
      <c r="B6" s="2" t="s">
        <v>47</v>
      </c>
      <c r="C6" s="15" t="s">
        <v>1607</v>
      </c>
      <c r="D6" s="2" t="s">
        <v>12</v>
      </c>
      <c r="E6" s="9">
        <v>45729</v>
      </c>
      <c r="F6" s="9">
        <v>45729</v>
      </c>
      <c r="G6" s="2" t="s">
        <v>30</v>
      </c>
      <c r="H6" s="2" t="s">
        <v>13</v>
      </c>
      <c r="I6" s="2" t="s">
        <v>12</v>
      </c>
      <c r="J6" s="2" t="s">
        <v>29</v>
      </c>
      <c r="K6" s="14" t="s">
        <v>1606</v>
      </c>
      <c r="L6" s="2">
        <v>6</v>
      </c>
      <c r="M6" s="2">
        <v>2</v>
      </c>
      <c r="N6" s="2">
        <f t="shared" ref="N6:N69" si="0">L6*M6</f>
        <v>12</v>
      </c>
      <c r="O6" s="35">
        <v>0</v>
      </c>
      <c r="P6" s="22">
        <v>0</v>
      </c>
    </row>
    <row r="7" spans="1:20" x14ac:dyDescent="0.25">
      <c r="A7">
        <v>2</v>
      </c>
      <c r="B7" s="2" t="s">
        <v>47</v>
      </c>
      <c r="C7" s="15" t="s">
        <v>1608</v>
      </c>
      <c r="D7" s="2" t="s">
        <v>12</v>
      </c>
      <c r="E7" s="9">
        <v>45722</v>
      </c>
      <c r="F7" s="9">
        <v>45722</v>
      </c>
      <c r="G7" s="2" t="s">
        <v>30</v>
      </c>
      <c r="H7" s="2" t="s">
        <v>13</v>
      </c>
      <c r="I7" s="2" t="s">
        <v>12</v>
      </c>
      <c r="J7" s="2" t="s">
        <v>29</v>
      </c>
      <c r="K7" s="14" t="s">
        <v>1606</v>
      </c>
      <c r="L7" s="2">
        <v>5</v>
      </c>
      <c r="M7" s="2">
        <v>2</v>
      </c>
      <c r="N7" s="2">
        <f t="shared" si="0"/>
        <v>10</v>
      </c>
      <c r="O7" s="35">
        <v>0</v>
      </c>
      <c r="P7" s="22">
        <v>0</v>
      </c>
    </row>
    <row r="8" spans="1:20" x14ac:dyDescent="0.25">
      <c r="A8">
        <v>3</v>
      </c>
      <c r="B8" s="2" t="s">
        <v>47</v>
      </c>
      <c r="C8" s="15" t="s">
        <v>1609</v>
      </c>
      <c r="D8" s="2" t="s">
        <v>12</v>
      </c>
      <c r="E8" s="9">
        <v>45726</v>
      </c>
      <c r="F8" s="9">
        <v>45726</v>
      </c>
      <c r="G8" s="2" t="s">
        <v>30</v>
      </c>
      <c r="H8" s="2" t="s">
        <v>13</v>
      </c>
      <c r="I8" s="2" t="s">
        <v>12</v>
      </c>
      <c r="J8" s="2" t="s">
        <v>29</v>
      </c>
      <c r="K8" s="14" t="s">
        <v>1606</v>
      </c>
      <c r="L8" s="2">
        <v>5</v>
      </c>
      <c r="M8" s="2">
        <v>2</v>
      </c>
      <c r="N8" s="2">
        <f t="shared" si="0"/>
        <v>10</v>
      </c>
      <c r="O8" s="35">
        <v>0</v>
      </c>
      <c r="P8" s="22">
        <v>0</v>
      </c>
    </row>
    <row r="9" spans="1:20" x14ac:dyDescent="0.25">
      <c r="A9">
        <v>4</v>
      </c>
      <c r="B9" s="2" t="s">
        <v>47</v>
      </c>
      <c r="C9" s="15" t="s">
        <v>1610</v>
      </c>
      <c r="D9" s="2" t="s">
        <v>12</v>
      </c>
      <c r="E9" s="9">
        <v>45722</v>
      </c>
      <c r="F9" s="9">
        <v>45722</v>
      </c>
      <c r="G9" s="2" t="s">
        <v>1808</v>
      </c>
      <c r="H9" s="2" t="s">
        <v>13</v>
      </c>
      <c r="I9" s="2" t="s">
        <v>12</v>
      </c>
      <c r="J9" s="2" t="s">
        <v>29</v>
      </c>
      <c r="K9" s="14" t="s">
        <v>1611</v>
      </c>
      <c r="L9" s="2">
        <v>6</v>
      </c>
      <c r="M9" s="2">
        <v>0.5</v>
      </c>
      <c r="N9" s="2">
        <f t="shared" si="0"/>
        <v>3</v>
      </c>
      <c r="O9" s="35">
        <v>0</v>
      </c>
      <c r="P9" s="22">
        <v>0</v>
      </c>
    </row>
    <row r="10" spans="1:20" x14ac:dyDescent="0.25">
      <c r="A10">
        <v>5</v>
      </c>
      <c r="B10" s="2" t="s">
        <v>47</v>
      </c>
      <c r="C10" s="15" t="s">
        <v>1613</v>
      </c>
      <c r="D10" s="2" t="s">
        <v>12</v>
      </c>
      <c r="E10" s="9">
        <v>45735</v>
      </c>
      <c r="F10" s="9">
        <v>45735</v>
      </c>
      <c r="G10" s="2" t="s">
        <v>1808</v>
      </c>
      <c r="H10" s="2" t="s">
        <v>13</v>
      </c>
      <c r="I10" s="2" t="s">
        <v>12</v>
      </c>
      <c r="J10" s="2" t="s">
        <v>29</v>
      </c>
      <c r="K10" s="14" t="s">
        <v>1612</v>
      </c>
      <c r="L10" s="2">
        <v>11</v>
      </c>
      <c r="M10" s="2">
        <v>2</v>
      </c>
      <c r="N10" s="2">
        <f t="shared" si="0"/>
        <v>22</v>
      </c>
      <c r="O10" s="35">
        <v>0</v>
      </c>
      <c r="P10" s="22">
        <v>0</v>
      </c>
    </row>
    <row r="11" spans="1:20" x14ac:dyDescent="0.25">
      <c r="A11">
        <v>6</v>
      </c>
      <c r="B11" s="2" t="s">
        <v>47</v>
      </c>
      <c r="C11" s="15" t="s">
        <v>1614</v>
      </c>
      <c r="D11" s="2" t="s">
        <v>12</v>
      </c>
      <c r="E11" s="9">
        <v>45740</v>
      </c>
      <c r="F11" s="9">
        <v>45740</v>
      </c>
      <c r="G11" s="2" t="s">
        <v>1808</v>
      </c>
      <c r="H11" s="2" t="s">
        <v>13</v>
      </c>
      <c r="I11" s="2" t="s">
        <v>12</v>
      </c>
      <c r="J11" s="2" t="s">
        <v>29</v>
      </c>
      <c r="K11" s="14" t="s">
        <v>1615</v>
      </c>
      <c r="L11" s="2">
        <v>19</v>
      </c>
      <c r="M11" s="2">
        <v>5</v>
      </c>
      <c r="N11" s="2">
        <f t="shared" si="0"/>
        <v>95</v>
      </c>
      <c r="O11" s="35">
        <v>0</v>
      </c>
      <c r="P11" s="22">
        <v>0</v>
      </c>
    </row>
    <row r="12" spans="1:20" x14ac:dyDescent="0.25">
      <c r="A12">
        <v>7</v>
      </c>
      <c r="B12" s="2" t="s">
        <v>47</v>
      </c>
      <c r="C12" s="15" t="s">
        <v>1616</v>
      </c>
      <c r="D12" s="2" t="s">
        <v>12</v>
      </c>
      <c r="E12" s="9">
        <v>45736</v>
      </c>
      <c r="F12" s="9">
        <v>45736</v>
      </c>
      <c r="G12" s="2" t="s">
        <v>1808</v>
      </c>
      <c r="H12" s="2" t="s">
        <v>13</v>
      </c>
      <c r="I12" s="2" t="s">
        <v>12</v>
      </c>
      <c r="J12" s="2" t="s">
        <v>29</v>
      </c>
      <c r="K12" s="14" t="s">
        <v>1612</v>
      </c>
      <c r="L12" s="2">
        <v>15</v>
      </c>
      <c r="M12" s="2">
        <v>2</v>
      </c>
      <c r="N12" s="2">
        <f t="shared" si="0"/>
        <v>30</v>
      </c>
      <c r="O12" s="35">
        <v>0</v>
      </c>
      <c r="P12" s="22">
        <v>0</v>
      </c>
    </row>
    <row r="13" spans="1:20" x14ac:dyDescent="0.25">
      <c r="A13">
        <v>8</v>
      </c>
      <c r="B13" s="2" t="s">
        <v>47</v>
      </c>
      <c r="C13" s="15" t="s">
        <v>1617</v>
      </c>
      <c r="D13" s="2" t="s">
        <v>12</v>
      </c>
      <c r="E13" s="9">
        <v>45743</v>
      </c>
      <c r="F13" s="9">
        <v>45743</v>
      </c>
      <c r="G13" s="2" t="s">
        <v>1808</v>
      </c>
      <c r="H13" s="2" t="s">
        <v>13</v>
      </c>
      <c r="I13" s="2" t="s">
        <v>12</v>
      </c>
      <c r="J13" s="2" t="s">
        <v>29</v>
      </c>
      <c r="K13" s="14" t="s">
        <v>1618</v>
      </c>
      <c r="L13" s="2">
        <v>14</v>
      </c>
      <c r="M13" s="2">
        <v>2</v>
      </c>
      <c r="N13" s="2">
        <f t="shared" si="0"/>
        <v>28</v>
      </c>
      <c r="O13" s="35">
        <v>0</v>
      </c>
      <c r="P13" s="22">
        <v>0</v>
      </c>
    </row>
    <row r="14" spans="1:20" x14ac:dyDescent="0.25">
      <c r="A14">
        <v>9</v>
      </c>
      <c r="B14" s="2" t="s">
        <v>47</v>
      </c>
      <c r="C14" s="15" t="s">
        <v>1619</v>
      </c>
      <c r="D14" s="2" t="s">
        <v>12</v>
      </c>
      <c r="E14" s="9">
        <v>45723</v>
      </c>
      <c r="F14" s="9">
        <v>45723</v>
      </c>
      <c r="G14" s="2" t="s">
        <v>30</v>
      </c>
      <c r="H14" s="2" t="s">
        <v>13</v>
      </c>
      <c r="I14" s="2" t="s">
        <v>12</v>
      </c>
      <c r="J14" s="2" t="s">
        <v>29</v>
      </c>
      <c r="L14" s="2">
        <v>24</v>
      </c>
      <c r="M14" s="2">
        <v>1.5</v>
      </c>
      <c r="N14" s="2">
        <f t="shared" si="0"/>
        <v>36</v>
      </c>
      <c r="O14" s="35">
        <v>0</v>
      </c>
      <c r="P14" s="22">
        <v>0</v>
      </c>
    </row>
    <row r="15" spans="1:20" x14ac:dyDescent="0.25">
      <c r="A15">
        <v>10</v>
      </c>
      <c r="B15" s="2" t="s">
        <v>1828</v>
      </c>
      <c r="C15" s="15" t="s">
        <v>1829</v>
      </c>
      <c r="D15" s="2" t="s">
        <v>12</v>
      </c>
      <c r="E15" s="9">
        <v>45768</v>
      </c>
      <c r="F15" s="9">
        <v>45779</v>
      </c>
      <c r="G15" s="2" t="s">
        <v>1808</v>
      </c>
      <c r="H15" s="2" t="s">
        <v>13</v>
      </c>
      <c r="I15" s="2" t="s">
        <v>12</v>
      </c>
      <c r="J15" s="2" t="s">
        <v>29</v>
      </c>
      <c r="K15" s="14" t="s">
        <v>1830</v>
      </c>
      <c r="L15" s="2">
        <v>3</v>
      </c>
      <c r="M15" s="2">
        <v>80</v>
      </c>
      <c r="N15" s="2">
        <f t="shared" si="0"/>
        <v>240</v>
      </c>
      <c r="O15" s="35">
        <v>0</v>
      </c>
      <c r="P15" s="22">
        <v>0</v>
      </c>
    </row>
    <row r="16" spans="1:20" x14ac:dyDescent="0.25">
      <c r="A16">
        <v>11</v>
      </c>
      <c r="B16" s="2" t="s">
        <v>1828</v>
      </c>
      <c r="C16" s="15" t="s">
        <v>1831</v>
      </c>
      <c r="D16" s="2" t="s">
        <v>12</v>
      </c>
      <c r="E16" s="9">
        <v>45750</v>
      </c>
      <c r="F16" s="9">
        <v>45750</v>
      </c>
      <c r="G16" s="2" t="s">
        <v>1808</v>
      </c>
      <c r="H16" s="2" t="s">
        <v>13</v>
      </c>
      <c r="I16" s="2" t="s">
        <v>12</v>
      </c>
      <c r="J16" s="2" t="s">
        <v>29</v>
      </c>
      <c r="K16" s="14" t="s">
        <v>1832</v>
      </c>
      <c r="L16" s="2">
        <v>5</v>
      </c>
      <c r="M16" s="2">
        <v>2</v>
      </c>
      <c r="N16" s="2">
        <f t="shared" si="0"/>
        <v>10</v>
      </c>
      <c r="O16" s="35">
        <v>0</v>
      </c>
      <c r="P16" s="22">
        <v>0</v>
      </c>
    </row>
    <row r="17" spans="1:16" x14ac:dyDescent="0.25">
      <c r="A17">
        <v>12</v>
      </c>
      <c r="B17" s="2" t="s">
        <v>1828</v>
      </c>
      <c r="C17" s="15" t="s">
        <v>1833</v>
      </c>
      <c r="D17" s="2" t="s">
        <v>12</v>
      </c>
      <c r="E17" s="9">
        <v>45750</v>
      </c>
      <c r="F17" s="9">
        <v>45750</v>
      </c>
      <c r="G17" s="2" t="s">
        <v>1808</v>
      </c>
      <c r="H17" s="2" t="s">
        <v>13</v>
      </c>
      <c r="I17" s="2" t="s">
        <v>12</v>
      </c>
      <c r="J17" s="2" t="s">
        <v>29</v>
      </c>
      <c r="K17" s="14" t="s">
        <v>1834</v>
      </c>
      <c r="L17" s="2">
        <v>17</v>
      </c>
      <c r="M17" s="2">
        <v>2</v>
      </c>
      <c r="N17" s="2">
        <f t="shared" si="0"/>
        <v>34</v>
      </c>
      <c r="O17" s="35">
        <v>0</v>
      </c>
      <c r="P17" s="22">
        <v>0</v>
      </c>
    </row>
    <row r="18" spans="1:16" x14ac:dyDescent="0.25">
      <c r="A18">
        <v>13</v>
      </c>
      <c r="B18" s="2" t="s">
        <v>1828</v>
      </c>
      <c r="C18" s="15" t="s">
        <v>1835</v>
      </c>
      <c r="D18" s="2" t="s">
        <v>12</v>
      </c>
      <c r="E18" s="9">
        <v>45754</v>
      </c>
      <c r="F18" s="9">
        <v>45754</v>
      </c>
      <c r="G18" s="2" t="s">
        <v>1808</v>
      </c>
      <c r="H18" s="2" t="s">
        <v>13</v>
      </c>
      <c r="I18" s="2" t="s">
        <v>12</v>
      </c>
      <c r="J18" s="2" t="s">
        <v>29</v>
      </c>
      <c r="K18" s="14" t="s">
        <v>1832</v>
      </c>
      <c r="L18" s="2">
        <v>2</v>
      </c>
      <c r="M18" s="2">
        <v>1</v>
      </c>
      <c r="N18" s="2">
        <f t="shared" si="0"/>
        <v>2</v>
      </c>
      <c r="O18" s="35">
        <v>0</v>
      </c>
      <c r="P18" s="22">
        <v>0</v>
      </c>
    </row>
    <row r="19" spans="1:16" x14ac:dyDescent="0.25">
      <c r="A19">
        <v>14</v>
      </c>
      <c r="B19" s="2" t="s">
        <v>1828</v>
      </c>
      <c r="C19" s="15" t="s">
        <v>1836</v>
      </c>
      <c r="D19" s="2" t="s">
        <v>12</v>
      </c>
      <c r="E19" s="9">
        <v>45754</v>
      </c>
      <c r="F19" s="9">
        <v>45754</v>
      </c>
      <c r="G19" s="2" t="s">
        <v>1808</v>
      </c>
      <c r="H19" s="2" t="s">
        <v>5</v>
      </c>
      <c r="I19" s="2" t="s">
        <v>12</v>
      </c>
      <c r="J19" s="2" t="s">
        <v>29</v>
      </c>
      <c r="K19" s="14" t="s">
        <v>1837</v>
      </c>
      <c r="L19" s="2">
        <v>10</v>
      </c>
      <c r="M19" s="2">
        <v>12</v>
      </c>
      <c r="N19" s="2">
        <f t="shared" si="0"/>
        <v>120</v>
      </c>
      <c r="O19" s="35">
        <f>75000/T4</f>
        <v>69.822650467811755</v>
      </c>
      <c r="P19" s="22">
        <v>0</v>
      </c>
    </row>
    <row r="20" spans="1:16" x14ac:dyDescent="0.25">
      <c r="A20">
        <v>15</v>
      </c>
      <c r="B20" s="2" t="s">
        <v>1828</v>
      </c>
      <c r="C20" s="15" t="s">
        <v>1838</v>
      </c>
      <c r="D20" s="2" t="s">
        <v>12</v>
      </c>
      <c r="E20" s="9">
        <v>45756</v>
      </c>
      <c r="F20" s="9">
        <v>45756</v>
      </c>
      <c r="G20" s="2" t="s">
        <v>1808</v>
      </c>
      <c r="H20" s="2" t="s">
        <v>5</v>
      </c>
      <c r="I20" s="2" t="s">
        <v>12</v>
      </c>
      <c r="J20" s="2" t="s">
        <v>29</v>
      </c>
      <c r="K20" s="14" t="s">
        <v>1840</v>
      </c>
      <c r="L20" s="2">
        <v>37</v>
      </c>
      <c r="M20" s="2">
        <v>2</v>
      </c>
      <c r="N20" s="2">
        <f t="shared" si="0"/>
        <v>74</v>
      </c>
      <c r="O20" s="35">
        <v>0</v>
      </c>
      <c r="P20" s="22">
        <v>0</v>
      </c>
    </row>
    <row r="21" spans="1:16" x14ac:dyDescent="0.25">
      <c r="A21">
        <v>16</v>
      </c>
      <c r="B21" s="2" t="s">
        <v>1828</v>
      </c>
      <c r="C21" s="15" t="s">
        <v>1839</v>
      </c>
      <c r="D21" s="2" t="s">
        <v>12</v>
      </c>
      <c r="E21" s="9">
        <v>45757</v>
      </c>
      <c r="F21" s="9">
        <v>45757</v>
      </c>
      <c r="G21" s="2" t="s">
        <v>1808</v>
      </c>
      <c r="H21" s="2" t="s">
        <v>13</v>
      </c>
      <c r="I21" s="2" t="s">
        <v>12</v>
      </c>
      <c r="J21" s="2" t="s">
        <v>29</v>
      </c>
      <c r="K21" s="14" t="s">
        <v>1841</v>
      </c>
      <c r="L21" s="2">
        <v>17</v>
      </c>
      <c r="M21" s="2">
        <v>2</v>
      </c>
      <c r="N21" s="2">
        <f t="shared" si="0"/>
        <v>34</v>
      </c>
      <c r="O21" s="35">
        <v>0</v>
      </c>
      <c r="P21" s="22">
        <v>0</v>
      </c>
    </row>
    <row r="22" spans="1:16" x14ac:dyDescent="0.25">
      <c r="A22">
        <v>17</v>
      </c>
      <c r="B22" s="2" t="s">
        <v>1828</v>
      </c>
      <c r="C22" s="15" t="s">
        <v>1842</v>
      </c>
      <c r="D22" s="2" t="s">
        <v>12</v>
      </c>
      <c r="E22" s="9">
        <v>45758</v>
      </c>
      <c r="F22" s="9">
        <v>45758</v>
      </c>
      <c r="G22" s="2" t="s">
        <v>1808</v>
      </c>
      <c r="H22" s="2" t="s">
        <v>13</v>
      </c>
      <c r="I22" s="2" t="s">
        <v>12</v>
      </c>
      <c r="J22" s="2" t="s">
        <v>29</v>
      </c>
      <c r="K22" s="14" t="s">
        <v>1832</v>
      </c>
      <c r="L22" s="2">
        <v>5</v>
      </c>
      <c r="M22" s="2">
        <v>2</v>
      </c>
      <c r="N22" s="2">
        <f t="shared" si="0"/>
        <v>10</v>
      </c>
      <c r="O22" s="35">
        <v>0</v>
      </c>
      <c r="P22" s="22">
        <v>0</v>
      </c>
    </row>
    <row r="23" spans="1:16" x14ac:dyDescent="0.25">
      <c r="A23">
        <v>18</v>
      </c>
      <c r="B23" s="2" t="s">
        <v>1828</v>
      </c>
      <c r="C23" s="15" t="s">
        <v>1843</v>
      </c>
      <c r="D23" s="2" t="s">
        <v>12</v>
      </c>
      <c r="E23" s="9">
        <v>45761</v>
      </c>
      <c r="F23" s="9">
        <v>45761</v>
      </c>
      <c r="G23" s="2" t="s">
        <v>1808</v>
      </c>
      <c r="H23" s="2" t="s">
        <v>13</v>
      </c>
      <c r="I23" s="2" t="s">
        <v>12</v>
      </c>
      <c r="J23" s="2" t="s">
        <v>29</v>
      </c>
      <c r="K23" s="14" t="s">
        <v>1844</v>
      </c>
      <c r="L23" s="2">
        <v>35</v>
      </c>
      <c r="M23" s="2">
        <v>12</v>
      </c>
      <c r="N23" s="2">
        <f t="shared" si="0"/>
        <v>420</v>
      </c>
      <c r="O23" s="35">
        <v>0</v>
      </c>
      <c r="P23" s="22">
        <v>0</v>
      </c>
    </row>
    <row r="24" spans="1:16" x14ac:dyDescent="0.25">
      <c r="A24">
        <v>19</v>
      </c>
      <c r="B24" s="2" t="s">
        <v>1828</v>
      </c>
      <c r="C24" s="15" t="s">
        <v>1845</v>
      </c>
      <c r="D24" s="2" t="s">
        <v>12</v>
      </c>
      <c r="E24" s="9">
        <v>45762</v>
      </c>
      <c r="F24" s="9">
        <v>45762</v>
      </c>
      <c r="G24" s="2" t="s">
        <v>1808</v>
      </c>
      <c r="H24" s="2" t="s">
        <v>13</v>
      </c>
      <c r="I24" s="2" t="s">
        <v>12</v>
      </c>
      <c r="J24" s="2" t="s">
        <v>29</v>
      </c>
      <c r="K24" s="14" t="s">
        <v>1612</v>
      </c>
      <c r="L24" s="2">
        <v>17</v>
      </c>
      <c r="M24" s="2">
        <v>6</v>
      </c>
      <c r="N24" s="2">
        <f t="shared" si="0"/>
        <v>102</v>
      </c>
      <c r="O24" s="35">
        <v>0</v>
      </c>
      <c r="P24" s="22">
        <v>0</v>
      </c>
    </row>
    <row r="25" spans="1:16" x14ac:dyDescent="0.25">
      <c r="A25">
        <v>20</v>
      </c>
      <c r="B25" s="2" t="s">
        <v>1828</v>
      </c>
      <c r="C25" s="15" t="s">
        <v>1846</v>
      </c>
      <c r="D25" s="2" t="s">
        <v>12</v>
      </c>
      <c r="E25" s="9">
        <v>45764</v>
      </c>
      <c r="F25" s="9">
        <v>45764</v>
      </c>
      <c r="G25" s="2" t="s">
        <v>1808</v>
      </c>
      <c r="H25" s="2" t="s">
        <v>5</v>
      </c>
      <c r="I25" s="2" t="s">
        <v>12</v>
      </c>
      <c r="J25" s="2" t="s">
        <v>29</v>
      </c>
      <c r="K25" s="14" t="s">
        <v>1847</v>
      </c>
      <c r="L25" s="2">
        <v>25</v>
      </c>
      <c r="M25" s="2">
        <v>3</v>
      </c>
      <c r="N25" s="2">
        <f t="shared" si="0"/>
        <v>75</v>
      </c>
      <c r="O25" s="35">
        <v>0</v>
      </c>
      <c r="P25" s="22">
        <v>0</v>
      </c>
    </row>
    <row r="26" spans="1:16" x14ac:dyDescent="0.25">
      <c r="A26">
        <v>21</v>
      </c>
      <c r="B26" s="2" t="s">
        <v>1828</v>
      </c>
      <c r="C26" s="15" t="s">
        <v>1846</v>
      </c>
      <c r="D26" s="2" t="s">
        <v>12</v>
      </c>
      <c r="E26" s="9">
        <v>45768</v>
      </c>
      <c r="F26" s="9">
        <v>45768</v>
      </c>
      <c r="G26" s="2" t="s">
        <v>1808</v>
      </c>
      <c r="H26" s="2" t="s">
        <v>5</v>
      </c>
      <c r="I26" s="2" t="s">
        <v>12</v>
      </c>
      <c r="J26" s="2" t="s">
        <v>29</v>
      </c>
      <c r="K26" s="14" t="s">
        <v>1847</v>
      </c>
      <c r="L26" s="2">
        <v>17</v>
      </c>
      <c r="M26" s="2">
        <v>3</v>
      </c>
      <c r="N26" s="2">
        <f t="shared" si="0"/>
        <v>51</v>
      </c>
      <c r="O26" s="35">
        <v>0</v>
      </c>
      <c r="P26" s="22">
        <v>0</v>
      </c>
    </row>
    <row r="27" spans="1:16" x14ac:dyDescent="0.25">
      <c r="A27">
        <v>22</v>
      </c>
      <c r="B27" s="2" t="s">
        <v>1828</v>
      </c>
      <c r="C27" s="15" t="s">
        <v>1848</v>
      </c>
      <c r="D27" s="2" t="s">
        <v>12</v>
      </c>
      <c r="E27" s="9">
        <v>45773</v>
      </c>
      <c r="F27" s="9">
        <v>45773</v>
      </c>
      <c r="G27" s="2" t="s">
        <v>1808</v>
      </c>
      <c r="H27" s="2" t="s">
        <v>5</v>
      </c>
      <c r="I27" s="2" t="s">
        <v>12</v>
      </c>
      <c r="J27" s="2" t="s">
        <v>29</v>
      </c>
      <c r="K27" s="14" t="s">
        <v>1832</v>
      </c>
      <c r="L27" s="2">
        <v>3</v>
      </c>
      <c r="M27" s="2">
        <v>2</v>
      </c>
      <c r="N27" s="2">
        <f t="shared" si="0"/>
        <v>6</v>
      </c>
      <c r="O27" s="35">
        <v>0</v>
      </c>
      <c r="P27" s="22">
        <v>0</v>
      </c>
    </row>
    <row r="28" spans="1:16" x14ac:dyDescent="0.25">
      <c r="A28">
        <v>23</v>
      </c>
      <c r="B28" s="2" t="s">
        <v>1828</v>
      </c>
      <c r="C28" s="15" t="s">
        <v>1849</v>
      </c>
      <c r="D28" s="2" t="s">
        <v>12</v>
      </c>
      <c r="E28" s="9">
        <v>45775</v>
      </c>
      <c r="F28" s="9">
        <v>45776</v>
      </c>
      <c r="G28" s="2" t="s">
        <v>1808</v>
      </c>
      <c r="H28" s="2" t="s">
        <v>5</v>
      </c>
      <c r="I28" s="2" t="s">
        <v>12</v>
      </c>
      <c r="J28" s="2" t="s">
        <v>29</v>
      </c>
      <c r="K28" s="14" t="s">
        <v>1850</v>
      </c>
      <c r="L28" s="2">
        <v>20</v>
      </c>
      <c r="M28" s="2">
        <v>8</v>
      </c>
      <c r="N28" s="2">
        <f t="shared" si="0"/>
        <v>160</v>
      </c>
      <c r="O28" s="35">
        <f>+(22000*20)/T4</f>
        <v>409.62621607782893</v>
      </c>
      <c r="P28" s="22">
        <v>0</v>
      </c>
    </row>
    <row r="29" spans="1:16" x14ac:dyDescent="0.25">
      <c r="A29">
        <v>24</v>
      </c>
      <c r="B29" s="2" t="s">
        <v>1828</v>
      </c>
      <c r="C29" s="15" t="s">
        <v>1882</v>
      </c>
      <c r="D29" s="2" t="s">
        <v>12</v>
      </c>
      <c r="E29" s="9">
        <v>45744</v>
      </c>
      <c r="F29" s="9">
        <v>45744</v>
      </c>
      <c r="G29" s="2" t="s">
        <v>1808</v>
      </c>
      <c r="H29" s="2" t="s">
        <v>5</v>
      </c>
      <c r="I29" s="2" t="s">
        <v>12</v>
      </c>
      <c r="J29" s="2" t="s">
        <v>29</v>
      </c>
      <c r="K29" s="14" t="s">
        <v>1883</v>
      </c>
      <c r="L29" s="2">
        <v>2</v>
      </c>
      <c r="M29" s="2">
        <v>8</v>
      </c>
      <c r="N29" s="2">
        <f t="shared" si="0"/>
        <v>16</v>
      </c>
      <c r="O29" s="35">
        <f>230000/T4</f>
        <v>214.12279476795604</v>
      </c>
      <c r="P29" s="22">
        <v>0</v>
      </c>
    </row>
    <row r="30" spans="1:16" x14ac:dyDescent="0.25">
      <c r="A30">
        <v>25</v>
      </c>
      <c r="B30" s="2" t="s">
        <v>1828</v>
      </c>
      <c r="C30" s="15" t="s">
        <v>1885</v>
      </c>
      <c r="D30" s="2" t="s">
        <v>12</v>
      </c>
      <c r="E30" s="9">
        <v>45773</v>
      </c>
      <c r="F30" s="9">
        <v>45774</v>
      </c>
      <c r="G30" s="2" t="s">
        <v>1808</v>
      </c>
      <c r="H30" s="2" t="s">
        <v>5</v>
      </c>
      <c r="I30" s="2" t="s">
        <v>12</v>
      </c>
      <c r="J30" s="2" t="s">
        <v>29</v>
      </c>
      <c r="K30" s="14" t="s">
        <v>1884</v>
      </c>
      <c r="L30" s="2">
        <v>3</v>
      </c>
      <c r="M30" s="2">
        <v>16</v>
      </c>
      <c r="N30" s="2">
        <f t="shared" si="0"/>
        <v>48</v>
      </c>
      <c r="O30" s="35">
        <f>+(300000+160000)/T4</f>
        <v>428.24558953591207</v>
      </c>
      <c r="P30" s="22">
        <v>0</v>
      </c>
    </row>
    <row r="31" spans="1:16" x14ac:dyDescent="0.25">
      <c r="A31">
        <v>26</v>
      </c>
      <c r="B31" s="2" t="s">
        <v>1828</v>
      </c>
      <c r="C31" s="15" t="s">
        <v>1886</v>
      </c>
      <c r="D31" s="2" t="s">
        <v>12</v>
      </c>
      <c r="E31" s="9">
        <v>45771</v>
      </c>
      <c r="F31" s="9">
        <v>45771</v>
      </c>
      <c r="G31" s="2" t="s">
        <v>1808</v>
      </c>
      <c r="H31" s="2" t="s">
        <v>5</v>
      </c>
      <c r="I31" s="2" t="s">
        <v>12</v>
      </c>
      <c r="J31" s="2" t="s">
        <v>29</v>
      </c>
      <c r="K31" s="14" t="s">
        <v>1887</v>
      </c>
      <c r="L31" s="2">
        <v>6</v>
      </c>
      <c r="M31" s="2">
        <v>6</v>
      </c>
      <c r="N31" s="2">
        <f t="shared" si="0"/>
        <v>36</v>
      </c>
      <c r="O31" s="35">
        <f>420000/T4</f>
        <v>391.00684261974584</v>
      </c>
      <c r="P31" s="22">
        <v>0</v>
      </c>
    </row>
    <row r="32" spans="1:16" x14ac:dyDescent="0.25">
      <c r="A32">
        <v>27</v>
      </c>
      <c r="B32" s="2" t="s">
        <v>66</v>
      </c>
      <c r="C32" s="15" t="s">
        <v>1838</v>
      </c>
      <c r="D32" s="2" t="s">
        <v>12</v>
      </c>
      <c r="E32" s="9">
        <v>45799</v>
      </c>
      <c r="F32" s="9">
        <v>45799</v>
      </c>
      <c r="G32" s="2" t="s">
        <v>1808</v>
      </c>
      <c r="H32" s="2" t="s">
        <v>5</v>
      </c>
      <c r="I32" s="2" t="s">
        <v>12</v>
      </c>
      <c r="J32" s="2" t="s">
        <v>29</v>
      </c>
      <c r="K32" s="14" t="s">
        <v>1844</v>
      </c>
      <c r="L32" s="2">
        <v>25</v>
      </c>
      <c r="M32" s="2">
        <v>2</v>
      </c>
      <c r="N32" s="2">
        <f t="shared" si="0"/>
        <v>50</v>
      </c>
      <c r="O32">
        <v>0</v>
      </c>
      <c r="P32" s="2">
        <v>0</v>
      </c>
    </row>
    <row r="33" spans="1:16" x14ac:dyDescent="0.25">
      <c r="A33">
        <v>28</v>
      </c>
      <c r="B33" s="2" t="s">
        <v>66</v>
      </c>
      <c r="C33" s="23" t="s">
        <v>1892</v>
      </c>
      <c r="D33" s="2" t="s">
        <v>12</v>
      </c>
      <c r="E33" s="9">
        <v>45800</v>
      </c>
      <c r="F33" s="9">
        <v>45800</v>
      </c>
      <c r="G33" s="2" t="s">
        <v>1808</v>
      </c>
      <c r="H33" s="2" t="s">
        <v>5</v>
      </c>
      <c r="I33" s="2" t="s">
        <v>12</v>
      </c>
      <c r="J33" s="2" t="s">
        <v>29</v>
      </c>
      <c r="K33" s="14" t="s">
        <v>1891</v>
      </c>
      <c r="L33" s="2">
        <f>44+25</f>
        <v>69</v>
      </c>
      <c r="M33" s="2">
        <v>1</v>
      </c>
      <c r="N33" s="2">
        <f t="shared" si="0"/>
        <v>69</v>
      </c>
      <c r="O33">
        <v>0</v>
      </c>
      <c r="P33" s="2">
        <v>0</v>
      </c>
    </row>
    <row r="34" spans="1:16" x14ac:dyDescent="0.25">
      <c r="A34">
        <v>29</v>
      </c>
      <c r="B34" s="2" t="s">
        <v>66</v>
      </c>
      <c r="C34" s="23" t="s">
        <v>1893</v>
      </c>
      <c r="D34" s="2" t="s">
        <v>12</v>
      </c>
      <c r="E34" s="9">
        <v>45799</v>
      </c>
      <c r="F34" s="9">
        <v>45799</v>
      </c>
      <c r="G34" s="2" t="s">
        <v>1808</v>
      </c>
      <c r="H34" s="2" t="s">
        <v>5</v>
      </c>
      <c r="I34" s="2" t="s">
        <v>12</v>
      </c>
      <c r="J34" s="2" t="s">
        <v>29</v>
      </c>
      <c r="K34" s="14" t="s">
        <v>1894</v>
      </c>
      <c r="L34" s="2">
        <v>6</v>
      </c>
      <c r="M34" s="2">
        <v>1</v>
      </c>
      <c r="N34" s="2">
        <f t="shared" si="0"/>
        <v>6</v>
      </c>
      <c r="O34" s="35">
        <v>0</v>
      </c>
      <c r="P34" s="2">
        <v>0</v>
      </c>
    </row>
    <row r="35" spans="1:16" x14ac:dyDescent="0.25">
      <c r="A35">
        <v>30</v>
      </c>
      <c r="B35" s="2" t="s">
        <v>66</v>
      </c>
      <c r="C35" s="23" t="s">
        <v>1895</v>
      </c>
      <c r="D35" s="2" t="s">
        <v>12</v>
      </c>
      <c r="E35" s="9">
        <v>45803</v>
      </c>
      <c r="F35" s="9">
        <v>45803</v>
      </c>
      <c r="G35" s="2" t="s">
        <v>1808</v>
      </c>
      <c r="H35" s="2" t="s">
        <v>5</v>
      </c>
      <c r="I35" s="2" t="s">
        <v>12</v>
      </c>
      <c r="J35" s="2" t="s">
        <v>29</v>
      </c>
      <c r="K35" s="14" t="s">
        <v>1891</v>
      </c>
      <c r="L35" s="2">
        <v>8</v>
      </c>
      <c r="M35" s="2">
        <v>2</v>
      </c>
      <c r="N35" s="2">
        <f t="shared" si="0"/>
        <v>16</v>
      </c>
      <c r="O35">
        <v>0</v>
      </c>
      <c r="P35" s="2">
        <v>0</v>
      </c>
    </row>
    <row r="36" spans="1:16" x14ac:dyDescent="0.25">
      <c r="A36">
        <v>31</v>
      </c>
      <c r="B36" s="2" t="s">
        <v>66</v>
      </c>
      <c r="C36" s="23" t="s">
        <v>1896</v>
      </c>
      <c r="D36" s="2" t="s">
        <v>12</v>
      </c>
      <c r="E36" s="9">
        <v>45804</v>
      </c>
      <c r="F36" s="9">
        <v>45804</v>
      </c>
      <c r="G36" s="2" t="s">
        <v>1808</v>
      </c>
      <c r="H36" s="2" t="s">
        <v>5</v>
      </c>
      <c r="I36" s="2" t="s">
        <v>12</v>
      </c>
      <c r="J36" s="2" t="s">
        <v>29</v>
      </c>
      <c r="K36" s="14" t="s">
        <v>1841</v>
      </c>
      <c r="L36" s="2">
        <v>19</v>
      </c>
      <c r="M36" s="2">
        <v>1.5</v>
      </c>
      <c r="N36" s="2">
        <f t="shared" si="0"/>
        <v>28.5</v>
      </c>
      <c r="O36">
        <v>0</v>
      </c>
      <c r="P36" s="2">
        <v>0</v>
      </c>
    </row>
    <row r="37" spans="1:16" x14ac:dyDescent="0.25">
      <c r="A37">
        <v>32</v>
      </c>
      <c r="B37" s="2" t="s">
        <v>66</v>
      </c>
      <c r="C37" s="23" t="s">
        <v>1897</v>
      </c>
      <c r="D37" s="2" t="s">
        <v>12</v>
      </c>
      <c r="E37" s="9">
        <v>45792</v>
      </c>
      <c r="F37" s="9">
        <v>45792</v>
      </c>
      <c r="G37" s="2" t="s">
        <v>1808</v>
      </c>
      <c r="H37" s="2" t="s">
        <v>5</v>
      </c>
      <c r="I37" s="2" t="s">
        <v>12</v>
      </c>
      <c r="J37" s="2" t="s">
        <v>29</v>
      </c>
      <c r="K37" s="14" t="s">
        <v>1898</v>
      </c>
      <c r="L37" s="2">
        <v>10</v>
      </c>
      <c r="M37" s="2">
        <v>1</v>
      </c>
      <c r="N37" s="2">
        <f t="shared" si="0"/>
        <v>10</v>
      </c>
      <c r="O37" s="35">
        <v>0</v>
      </c>
      <c r="P37" s="2">
        <v>0</v>
      </c>
    </row>
    <row r="38" spans="1:16" x14ac:dyDescent="0.25">
      <c r="A38">
        <v>33</v>
      </c>
      <c r="B38" s="2" t="s">
        <v>66</v>
      </c>
      <c r="C38" s="23" t="s">
        <v>1899</v>
      </c>
      <c r="D38" s="2" t="s">
        <v>12</v>
      </c>
      <c r="E38" s="9">
        <v>45806</v>
      </c>
      <c r="F38" s="9">
        <v>45796</v>
      </c>
      <c r="G38" s="2" t="s">
        <v>1808</v>
      </c>
      <c r="H38" s="2" t="s">
        <v>5</v>
      </c>
      <c r="I38" s="2" t="s">
        <v>12</v>
      </c>
      <c r="J38" s="2" t="s">
        <v>29</v>
      </c>
      <c r="K38" s="14" t="s">
        <v>1891</v>
      </c>
      <c r="L38" s="2">
        <v>26</v>
      </c>
      <c r="M38" s="2">
        <v>1</v>
      </c>
      <c r="N38" s="2">
        <f t="shared" si="0"/>
        <v>26</v>
      </c>
      <c r="O38">
        <v>0</v>
      </c>
      <c r="P38" s="2">
        <v>0</v>
      </c>
    </row>
    <row r="39" spans="1:16" x14ac:dyDescent="0.25">
      <c r="A39">
        <v>34</v>
      </c>
      <c r="B39" s="2" t="s">
        <v>66</v>
      </c>
      <c r="C39" s="23" t="s">
        <v>1901</v>
      </c>
      <c r="D39" s="2" t="s">
        <v>12</v>
      </c>
      <c r="E39" s="9">
        <v>45785</v>
      </c>
      <c r="F39" s="9">
        <v>45785</v>
      </c>
      <c r="G39" s="2" t="s">
        <v>1808</v>
      </c>
      <c r="H39" s="2" t="s">
        <v>5</v>
      </c>
      <c r="I39" s="2" t="s">
        <v>12</v>
      </c>
      <c r="J39" s="2" t="s">
        <v>29</v>
      </c>
      <c r="K39" s="14" t="s">
        <v>1900</v>
      </c>
      <c r="L39" s="2">
        <v>13</v>
      </c>
      <c r="M39" s="2">
        <v>1.5</v>
      </c>
      <c r="N39" s="2">
        <f t="shared" si="0"/>
        <v>19.5</v>
      </c>
      <c r="O39">
        <v>0</v>
      </c>
      <c r="P39" s="2">
        <v>0</v>
      </c>
    </row>
    <row r="40" spans="1:16" x14ac:dyDescent="0.25">
      <c r="A40">
        <v>35</v>
      </c>
      <c r="B40" s="2" t="s">
        <v>66</v>
      </c>
      <c r="C40" s="23" t="s">
        <v>1903</v>
      </c>
      <c r="D40" s="2" t="s">
        <v>12</v>
      </c>
      <c r="E40" s="9">
        <v>45799</v>
      </c>
      <c r="F40" s="9">
        <v>45799</v>
      </c>
      <c r="G40" s="2" t="s">
        <v>1808</v>
      </c>
      <c r="H40" s="2" t="s">
        <v>5</v>
      </c>
      <c r="I40" s="2" t="s">
        <v>12</v>
      </c>
      <c r="J40" s="2" t="s">
        <v>29</v>
      </c>
      <c r="K40" s="14" t="s">
        <v>1902</v>
      </c>
      <c r="L40" s="2">
        <v>14</v>
      </c>
      <c r="M40" s="2">
        <v>1.5</v>
      </c>
      <c r="N40" s="2">
        <f t="shared" si="0"/>
        <v>21</v>
      </c>
      <c r="O40">
        <v>0</v>
      </c>
      <c r="P40" s="2">
        <v>0</v>
      </c>
    </row>
    <row r="41" spans="1:16" x14ac:dyDescent="0.25">
      <c r="A41">
        <v>36</v>
      </c>
      <c r="B41" s="2" t="s">
        <v>66</v>
      </c>
      <c r="C41" s="23" t="s">
        <v>1904</v>
      </c>
      <c r="D41" s="2" t="s">
        <v>1905</v>
      </c>
      <c r="E41" s="9">
        <v>45778</v>
      </c>
      <c r="F41" s="9">
        <v>45808</v>
      </c>
      <c r="G41" s="2" t="s">
        <v>1808</v>
      </c>
      <c r="H41" s="2" t="s">
        <v>5</v>
      </c>
      <c r="I41" s="2" t="s">
        <v>1905</v>
      </c>
      <c r="J41" s="2" t="s">
        <v>29</v>
      </c>
      <c r="K41" s="14" t="s">
        <v>1906</v>
      </c>
      <c r="L41" s="2">
        <v>1</v>
      </c>
      <c r="M41" s="2">
        <v>100</v>
      </c>
      <c r="N41" s="2">
        <f t="shared" si="0"/>
        <v>100</v>
      </c>
      <c r="O41" s="35">
        <f>100000/T4</f>
        <v>93.096867290415673</v>
      </c>
      <c r="P41" s="2">
        <v>0</v>
      </c>
    </row>
    <row r="42" spans="1:16" x14ac:dyDescent="0.25">
      <c r="A42">
        <v>37</v>
      </c>
      <c r="B42" s="2" t="s">
        <v>66</v>
      </c>
      <c r="C42" s="23" t="s">
        <v>1907</v>
      </c>
      <c r="D42" s="2" t="s">
        <v>1905</v>
      </c>
      <c r="E42" s="9">
        <v>45778</v>
      </c>
      <c r="F42" s="9">
        <v>45808</v>
      </c>
      <c r="G42" s="2" t="s">
        <v>1808</v>
      </c>
      <c r="H42" s="2" t="s">
        <v>5</v>
      </c>
      <c r="I42" s="2" t="s">
        <v>1905</v>
      </c>
      <c r="J42" s="2" t="s">
        <v>29</v>
      </c>
      <c r="K42" s="14" t="s">
        <v>1908</v>
      </c>
      <c r="L42" s="2">
        <v>2</v>
      </c>
      <c r="M42" s="2">
        <f>36/3</f>
        <v>12</v>
      </c>
      <c r="N42" s="2">
        <f t="shared" si="0"/>
        <v>24</v>
      </c>
      <c r="O42" s="35">
        <f>(165000/3)/T4</f>
        <v>51.203277009728616</v>
      </c>
      <c r="P42" s="2">
        <v>0</v>
      </c>
    </row>
    <row r="43" spans="1:16" x14ac:dyDescent="0.25">
      <c r="A43">
        <v>38</v>
      </c>
      <c r="B43" s="2" t="s">
        <v>66</v>
      </c>
      <c r="C43" s="15" t="s">
        <v>1909</v>
      </c>
      <c r="D43" s="2" t="s">
        <v>12</v>
      </c>
      <c r="E43" s="9">
        <v>45778</v>
      </c>
      <c r="F43" s="9">
        <v>45808</v>
      </c>
      <c r="G43" s="2" t="s">
        <v>1808</v>
      </c>
      <c r="H43" s="2" t="s">
        <v>5</v>
      </c>
      <c r="I43" s="2" t="s">
        <v>1905</v>
      </c>
      <c r="J43" s="2" t="s">
        <v>29</v>
      </c>
      <c r="K43" s="14" t="s">
        <v>1910</v>
      </c>
      <c r="L43" s="2">
        <v>1</v>
      </c>
      <c r="M43" s="2">
        <v>20</v>
      </c>
      <c r="N43" s="2">
        <f t="shared" si="0"/>
        <v>20</v>
      </c>
      <c r="O43" s="35">
        <v>161.30000000000001</v>
      </c>
      <c r="P43" s="2">
        <v>0</v>
      </c>
    </row>
    <row r="44" spans="1:16" x14ac:dyDescent="0.25">
      <c r="A44">
        <v>39</v>
      </c>
      <c r="B44" s="2" t="s">
        <v>66</v>
      </c>
      <c r="C44" s="15" t="s">
        <v>1836</v>
      </c>
      <c r="D44" s="2" t="s">
        <v>12</v>
      </c>
      <c r="E44" s="9">
        <v>45778</v>
      </c>
      <c r="F44" s="9">
        <v>45808</v>
      </c>
      <c r="G44" s="2" t="s">
        <v>1808</v>
      </c>
      <c r="H44" s="2" t="s">
        <v>5</v>
      </c>
      <c r="I44" s="2" t="s">
        <v>12</v>
      </c>
      <c r="J44" s="2" t="s">
        <v>29</v>
      </c>
      <c r="K44" s="14" t="s">
        <v>1837</v>
      </c>
      <c r="L44" s="2">
        <v>10</v>
      </c>
      <c r="M44" s="2">
        <v>12</v>
      </c>
      <c r="N44" s="2">
        <f t="shared" ref="N44" si="1">L44*M44</f>
        <v>120</v>
      </c>
      <c r="O44" s="35">
        <f>75000/T4</f>
        <v>69.822650467811755</v>
      </c>
      <c r="P44" s="22">
        <v>0</v>
      </c>
    </row>
    <row r="45" spans="1:16" x14ac:dyDescent="0.25">
      <c r="A45">
        <v>40</v>
      </c>
      <c r="B45" s="2" t="s">
        <v>189</v>
      </c>
      <c r="C45" s="15" t="s">
        <v>1836</v>
      </c>
      <c r="D45" s="2" t="s">
        <v>12</v>
      </c>
      <c r="E45" s="9">
        <v>45809</v>
      </c>
      <c r="F45" s="9">
        <v>45838</v>
      </c>
      <c r="G45" s="2" t="s">
        <v>1808</v>
      </c>
      <c r="H45" s="2" t="s">
        <v>1926</v>
      </c>
      <c r="I45" s="2" t="s">
        <v>12</v>
      </c>
      <c r="J45" s="2" t="s">
        <v>29</v>
      </c>
      <c r="K45" s="14" t="s">
        <v>1837</v>
      </c>
      <c r="L45" s="2">
        <v>10</v>
      </c>
      <c r="M45" s="2">
        <v>12</v>
      </c>
      <c r="N45" s="2">
        <v>120</v>
      </c>
      <c r="O45" s="36">
        <v>69.822650467811755</v>
      </c>
    </row>
    <row r="46" spans="1:16" x14ac:dyDescent="0.25">
      <c r="A46">
        <v>41</v>
      </c>
      <c r="B46" s="2" t="s">
        <v>189</v>
      </c>
      <c r="C46" s="23" t="s">
        <v>1904</v>
      </c>
      <c r="D46" s="2" t="s">
        <v>1905</v>
      </c>
      <c r="E46" s="9">
        <v>45809</v>
      </c>
      <c r="F46" s="9">
        <v>45838</v>
      </c>
      <c r="G46" s="2" t="s">
        <v>1808</v>
      </c>
      <c r="H46" s="2" t="s">
        <v>1926</v>
      </c>
      <c r="I46" s="2" t="s">
        <v>1905</v>
      </c>
      <c r="J46" s="2" t="s">
        <v>29</v>
      </c>
      <c r="K46" s="14" t="s">
        <v>1906</v>
      </c>
      <c r="L46" s="2">
        <v>1</v>
      </c>
      <c r="M46" s="2">
        <v>100</v>
      </c>
      <c r="N46" s="2">
        <f t="shared" ref="N46:N47" si="2">L46*M46</f>
        <v>100</v>
      </c>
      <c r="O46" s="35">
        <v>93.1</v>
      </c>
    </row>
    <row r="47" spans="1:16" x14ac:dyDescent="0.25">
      <c r="A47">
        <v>42</v>
      </c>
      <c r="B47" s="2" t="s">
        <v>189</v>
      </c>
      <c r="C47" s="23" t="s">
        <v>1907</v>
      </c>
      <c r="D47" s="2" t="s">
        <v>1905</v>
      </c>
      <c r="E47" s="9">
        <v>45809</v>
      </c>
      <c r="F47" s="9">
        <v>45838</v>
      </c>
      <c r="G47" s="2" t="s">
        <v>1808</v>
      </c>
      <c r="H47" s="2" t="s">
        <v>1926</v>
      </c>
      <c r="I47" s="2" t="s">
        <v>1905</v>
      </c>
      <c r="J47" s="2" t="s">
        <v>29</v>
      </c>
      <c r="K47" s="14" t="s">
        <v>1908</v>
      </c>
      <c r="L47" s="2">
        <v>2</v>
      </c>
      <c r="M47" s="2">
        <f>36/3</f>
        <v>12</v>
      </c>
      <c r="N47" s="2">
        <f t="shared" si="2"/>
        <v>24</v>
      </c>
      <c r="O47" s="35">
        <v>51.2</v>
      </c>
    </row>
    <row r="48" spans="1:16" x14ac:dyDescent="0.25">
      <c r="A48">
        <v>43</v>
      </c>
      <c r="B48" s="2" t="s">
        <v>189</v>
      </c>
      <c r="C48" s="15" t="s">
        <v>1909</v>
      </c>
      <c r="D48" s="2" t="s">
        <v>12</v>
      </c>
      <c r="E48" s="9">
        <v>45809</v>
      </c>
      <c r="F48" s="9">
        <v>45838</v>
      </c>
      <c r="G48" s="2" t="s">
        <v>1808</v>
      </c>
      <c r="H48" s="2" t="s">
        <v>1926</v>
      </c>
      <c r="I48" s="2" t="s">
        <v>12</v>
      </c>
      <c r="J48" s="2" t="s">
        <v>29</v>
      </c>
      <c r="K48" s="14" t="s">
        <v>1910</v>
      </c>
      <c r="L48" s="2">
        <v>1</v>
      </c>
      <c r="M48" s="2">
        <v>20</v>
      </c>
      <c r="N48" s="2">
        <v>20</v>
      </c>
      <c r="O48" s="36">
        <v>161.30000000000001</v>
      </c>
    </row>
    <row r="49" spans="1:15" x14ac:dyDescent="0.25">
      <c r="A49">
        <v>44</v>
      </c>
      <c r="B49" s="2" t="s">
        <v>189</v>
      </c>
      <c r="C49" s="15" t="s">
        <v>1918</v>
      </c>
      <c r="D49" s="2" t="s">
        <v>12</v>
      </c>
      <c r="E49" s="9">
        <v>45809</v>
      </c>
      <c r="F49" s="9">
        <v>45838</v>
      </c>
      <c r="G49" s="2" t="s">
        <v>1808</v>
      </c>
      <c r="H49" s="2" t="s">
        <v>1926</v>
      </c>
      <c r="I49" s="2" t="s">
        <v>12</v>
      </c>
      <c r="J49" s="2" t="s">
        <v>29</v>
      </c>
      <c r="K49" s="14" t="s">
        <v>1910</v>
      </c>
      <c r="L49" s="2">
        <v>1</v>
      </c>
      <c r="M49" s="2">
        <v>60</v>
      </c>
      <c r="N49" s="2">
        <f t="shared" si="0"/>
        <v>60</v>
      </c>
      <c r="O49" s="36">
        <f>480000/T4</f>
        <v>446.86496299399522</v>
      </c>
    </row>
    <row r="50" spans="1:15" x14ac:dyDescent="0.25">
      <c r="A50">
        <v>45</v>
      </c>
      <c r="B50" s="2" t="s">
        <v>189</v>
      </c>
      <c r="C50" s="15" t="s">
        <v>1919</v>
      </c>
      <c r="D50" s="2" t="s">
        <v>12</v>
      </c>
      <c r="E50" s="9">
        <v>45809</v>
      </c>
      <c r="F50" s="9">
        <v>45838</v>
      </c>
      <c r="G50" s="2" t="s">
        <v>1808</v>
      </c>
      <c r="H50" s="2" t="s">
        <v>1926</v>
      </c>
      <c r="I50" s="2" t="s">
        <v>12</v>
      </c>
      <c r="J50" s="2" t="s">
        <v>29</v>
      </c>
      <c r="K50" s="14" t="s">
        <v>1920</v>
      </c>
      <c r="L50" s="2">
        <v>2</v>
      </c>
      <c r="N50" s="2">
        <f t="shared" si="0"/>
        <v>0</v>
      </c>
      <c r="O50" s="36">
        <f>300000/T4</f>
        <v>279.29060187124702</v>
      </c>
    </row>
    <row r="51" spans="1:15" x14ac:dyDescent="0.25">
      <c r="A51">
        <v>46</v>
      </c>
      <c r="B51" s="2" t="s">
        <v>189</v>
      </c>
      <c r="C51" s="15" t="s">
        <v>1921</v>
      </c>
      <c r="D51" s="2" t="s">
        <v>12</v>
      </c>
      <c r="E51" s="9">
        <v>45810</v>
      </c>
      <c r="F51" s="9">
        <v>45815</v>
      </c>
      <c r="G51" s="2" t="s">
        <v>1808</v>
      </c>
      <c r="H51" s="2" t="s">
        <v>1925</v>
      </c>
      <c r="I51" s="2" t="s">
        <v>12</v>
      </c>
      <c r="J51" s="2" t="s">
        <v>29</v>
      </c>
      <c r="K51" s="14" t="s">
        <v>1850</v>
      </c>
      <c r="L51" s="2">
        <v>12</v>
      </c>
      <c r="M51" s="2">
        <v>30</v>
      </c>
      <c r="N51" s="2">
        <f t="shared" si="0"/>
        <v>360</v>
      </c>
      <c r="O51" s="36">
        <f>1200000/T4</f>
        <v>1117.1624074849881</v>
      </c>
    </row>
    <row r="52" spans="1:15" x14ac:dyDescent="0.25">
      <c r="A52">
        <v>47</v>
      </c>
      <c r="B52" s="2" t="s">
        <v>189</v>
      </c>
      <c r="C52" s="23" t="s">
        <v>1892</v>
      </c>
      <c r="D52" s="2" t="s">
        <v>12</v>
      </c>
      <c r="E52" s="9">
        <v>45809</v>
      </c>
      <c r="F52" s="9">
        <v>45838</v>
      </c>
      <c r="G52" s="2" t="s">
        <v>1808</v>
      </c>
      <c r="H52" s="2" t="s">
        <v>13</v>
      </c>
      <c r="I52" s="2" t="s">
        <v>12</v>
      </c>
      <c r="J52" s="2" t="s">
        <v>29</v>
      </c>
      <c r="K52" s="14" t="s">
        <v>1891</v>
      </c>
      <c r="L52" s="2">
        <v>28</v>
      </c>
      <c r="M52" s="2">
        <v>1</v>
      </c>
      <c r="N52" s="2">
        <f t="shared" si="0"/>
        <v>28</v>
      </c>
      <c r="O52" s="36">
        <v>0</v>
      </c>
    </row>
    <row r="53" spans="1:15" x14ac:dyDescent="0.25">
      <c r="A53">
        <v>48</v>
      </c>
      <c r="B53" s="2" t="s">
        <v>189</v>
      </c>
      <c r="C53" s="15" t="s">
        <v>1922</v>
      </c>
      <c r="D53" s="2" t="s">
        <v>12</v>
      </c>
      <c r="E53" s="9">
        <v>45812</v>
      </c>
      <c r="F53" s="9">
        <v>45812</v>
      </c>
      <c r="G53" s="2" t="s">
        <v>1808</v>
      </c>
      <c r="H53" s="2" t="s">
        <v>13</v>
      </c>
      <c r="I53" s="2" t="s">
        <v>12</v>
      </c>
      <c r="J53" s="2" t="s">
        <v>29</v>
      </c>
      <c r="K53" s="14" t="s">
        <v>1923</v>
      </c>
      <c r="L53" s="2">
        <v>8</v>
      </c>
      <c r="M53" s="2">
        <v>3</v>
      </c>
      <c r="N53" s="2">
        <f t="shared" si="0"/>
        <v>24</v>
      </c>
      <c r="O53" s="36">
        <v>0</v>
      </c>
    </row>
    <row r="54" spans="1:15" x14ac:dyDescent="0.25">
      <c r="A54">
        <v>49</v>
      </c>
      <c r="B54" s="2" t="s">
        <v>189</v>
      </c>
      <c r="C54" s="15" t="s">
        <v>1922</v>
      </c>
      <c r="D54" s="2" t="s">
        <v>12</v>
      </c>
      <c r="E54" s="9">
        <v>45813</v>
      </c>
      <c r="F54" s="9">
        <v>45813</v>
      </c>
      <c r="G54" s="2" t="s">
        <v>1808</v>
      </c>
      <c r="H54" s="2" t="s">
        <v>13</v>
      </c>
      <c r="I54" s="2" t="s">
        <v>12</v>
      </c>
      <c r="J54" s="2" t="s">
        <v>29</v>
      </c>
      <c r="K54" s="14" t="s">
        <v>1923</v>
      </c>
      <c r="L54" s="2">
        <v>20</v>
      </c>
      <c r="M54" s="2">
        <v>2.5</v>
      </c>
      <c r="N54" s="2">
        <f t="shared" si="0"/>
        <v>50</v>
      </c>
      <c r="O54" s="36">
        <v>0</v>
      </c>
    </row>
    <row r="55" spans="1:15" x14ac:dyDescent="0.25">
      <c r="A55">
        <v>50</v>
      </c>
      <c r="B55" s="2" t="s">
        <v>189</v>
      </c>
      <c r="C55" s="15" t="s">
        <v>1924</v>
      </c>
      <c r="D55" s="2" t="s">
        <v>12</v>
      </c>
      <c r="E55" s="9">
        <v>45833</v>
      </c>
      <c r="F55" s="9">
        <v>45833</v>
      </c>
      <c r="G55" s="2" t="s">
        <v>1808</v>
      </c>
      <c r="H55" s="2" t="s">
        <v>13</v>
      </c>
      <c r="I55" s="2" t="s">
        <v>12</v>
      </c>
      <c r="J55" s="2" t="s">
        <v>29</v>
      </c>
      <c r="K55" s="14" t="s">
        <v>1927</v>
      </c>
      <c r="L55" s="2">
        <v>14</v>
      </c>
      <c r="M55" s="2">
        <v>3</v>
      </c>
      <c r="N55" s="2">
        <f t="shared" si="0"/>
        <v>42</v>
      </c>
      <c r="O55" s="36">
        <v>0</v>
      </c>
    </row>
    <row r="56" spans="1:15" x14ac:dyDescent="0.25">
      <c r="A56">
        <v>51</v>
      </c>
      <c r="B56" s="2" t="s">
        <v>49</v>
      </c>
      <c r="C56" s="15" t="s">
        <v>1931</v>
      </c>
      <c r="D56" s="2" t="s">
        <v>12</v>
      </c>
      <c r="E56" s="9">
        <v>45839</v>
      </c>
      <c r="F56" s="9">
        <v>45839</v>
      </c>
      <c r="G56" s="2" t="s">
        <v>1808</v>
      </c>
      <c r="H56" s="2" t="s">
        <v>1926</v>
      </c>
      <c r="I56" s="2" t="s">
        <v>12</v>
      </c>
      <c r="J56" s="2" t="s">
        <v>29</v>
      </c>
      <c r="K56" s="14" t="s">
        <v>1932</v>
      </c>
      <c r="L56" s="2">
        <v>20</v>
      </c>
      <c r="M56" s="2">
        <v>2</v>
      </c>
      <c r="N56" s="2">
        <f t="shared" si="0"/>
        <v>40</v>
      </c>
      <c r="O56" s="36">
        <f>561404/1004</f>
        <v>559.16733067729081</v>
      </c>
    </row>
    <row r="57" spans="1:15" x14ac:dyDescent="0.25">
      <c r="A57">
        <v>52</v>
      </c>
      <c r="B57" s="2" t="s">
        <v>49</v>
      </c>
      <c r="C57" s="15" t="s">
        <v>1933</v>
      </c>
      <c r="D57" s="2" t="s">
        <v>12</v>
      </c>
      <c r="E57" s="9">
        <v>45845</v>
      </c>
      <c r="F57" s="9">
        <v>45846</v>
      </c>
      <c r="G57" s="2" t="s">
        <v>1808</v>
      </c>
      <c r="H57" s="2" t="s">
        <v>1926</v>
      </c>
      <c r="I57" s="2" t="s">
        <v>12</v>
      </c>
      <c r="J57" s="2" t="s">
        <v>29</v>
      </c>
      <c r="K57" s="14" t="s">
        <v>1934</v>
      </c>
      <c r="L57" s="2">
        <v>21</v>
      </c>
      <c r="M57" s="2">
        <v>16</v>
      </c>
      <c r="N57" s="2">
        <f t="shared" si="0"/>
        <v>336</v>
      </c>
      <c r="O57" s="36">
        <v>4447</v>
      </c>
    </row>
    <row r="58" spans="1:15" x14ac:dyDescent="0.25">
      <c r="A58">
        <v>53</v>
      </c>
      <c r="B58" s="2" t="s">
        <v>49</v>
      </c>
      <c r="C58" s="15" t="s">
        <v>1933</v>
      </c>
      <c r="D58" s="2" t="s">
        <v>12</v>
      </c>
      <c r="E58" s="9">
        <v>45847</v>
      </c>
      <c r="F58" s="9">
        <v>45848</v>
      </c>
      <c r="G58" s="2" t="s">
        <v>1808</v>
      </c>
      <c r="H58" s="2" t="s">
        <v>1926</v>
      </c>
      <c r="I58" s="2" t="s">
        <v>12</v>
      </c>
      <c r="J58" s="2" t="s">
        <v>29</v>
      </c>
      <c r="K58" s="14" t="s">
        <v>1934</v>
      </c>
      <c r="L58" s="2">
        <v>25</v>
      </c>
      <c r="M58" s="2">
        <v>16</v>
      </c>
      <c r="N58" s="2">
        <f t="shared" si="0"/>
        <v>400</v>
      </c>
      <c r="O58" s="36">
        <v>4447</v>
      </c>
    </row>
    <row r="59" spans="1:15" x14ac:dyDescent="0.25">
      <c r="A59">
        <v>54</v>
      </c>
      <c r="B59" s="2" t="s">
        <v>49</v>
      </c>
      <c r="C59" s="15" t="s">
        <v>1935</v>
      </c>
      <c r="D59" s="2" t="s">
        <v>12</v>
      </c>
      <c r="E59" s="9">
        <v>45839</v>
      </c>
      <c r="F59" s="9">
        <v>45839</v>
      </c>
      <c r="G59" s="2" t="s">
        <v>1808</v>
      </c>
      <c r="H59" s="2" t="s">
        <v>1926</v>
      </c>
      <c r="I59" s="2" t="s">
        <v>12</v>
      </c>
      <c r="J59" s="2" t="s">
        <v>29</v>
      </c>
      <c r="K59" s="14" t="s">
        <v>1902</v>
      </c>
      <c r="L59" s="2">
        <v>5</v>
      </c>
      <c r="M59" s="2">
        <v>1</v>
      </c>
      <c r="N59" s="2">
        <f t="shared" si="0"/>
        <v>5</v>
      </c>
      <c r="O59" s="36">
        <v>0</v>
      </c>
    </row>
    <row r="60" spans="1:15" x14ac:dyDescent="0.25">
      <c r="A60">
        <v>55</v>
      </c>
      <c r="B60" s="2" t="s">
        <v>49</v>
      </c>
      <c r="C60" s="15" t="s">
        <v>1895</v>
      </c>
      <c r="D60" s="2" t="s">
        <v>12</v>
      </c>
      <c r="E60" s="9">
        <v>45855</v>
      </c>
      <c r="F60" s="9">
        <v>45855</v>
      </c>
      <c r="G60" s="2" t="s">
        <v>1808</v>
      </c>
      <c r="H60" s="2" t="s">
        <v>1926</v>
      </c>
      <c r="I60" s="2" t="s">
        <v>12</v>
      </c>
      <c r="J60" s="2" t="s">
        <v>29</v>
      </c>
      <c r="K60" s="14" t="s">
        <v>1936</v>
      </c>
      <c r="L60" s="2">
        <v>6</v>
      </c>
      <c r="M60" s="2">
        <v>1.5</v>
      </c>
      <c r="N60" s="2">
        <f t="shared" si="0"/>
        <v>9</v>
      </c>
      <c r="O60" s="36">
        <v>0</v>
      </c>
    </row>
    <row r="61" spans="1:15" x14ac:dyDescent="0.25">
      <c r="A61">
        <v>56</v>
      </c>
      <c r="B61" s="2" t="s">
        <v>49</v>
      </c>
      <c r="C61" s="15" t="s">
        <v>1937</v>
      </c>
      <c r="D61" s="2" t="s">
        <v>12</v>
      </c>
      <c r="E61" s="9">
        <v>45852</v>
      </c>
      <c r="F61" s="9">
        <v>45852</v>
      </c>
      <c r="G61" s="2" t="s">
        <v>1808</v>
      </c>
      <c r="H61" s="2" t="s">
        <v>1926</v>
      </c>
      <c r="I61" s="2" t="s">
        <v>12</v>
      </c>
      <c r="J61" s="2" t="s">
        <v>29</v>
      </c>
      <c r="K61" s="14" t="s">
        <v>1938</v>
      </c>
      <c r="L61" s="2">
        <v>7</v>
      </c>
      <c r="M61" s="2">
        <v>1</v>
      </c>
      <c r="N61" s="2">
        <f t="shared" si="0"/>
        <v>7</v>
      </c>
      <c r="O61">
        <v>0</v>
      </c>
    </row>
    <row r="62" spans="1:15" x14ac:dyDescent="0.25">
      <c r="A62">
        <v>57</v>
      </c>
      <c r="B62" s="2" t="s">
        <v>49</v>
      </c>
      <c r="C62" s="15" t="s">
        <v>1937</v>
      </c>
      <c r="D62" s="2" t="s">
        <v>12</v>
      </c>
      <c r="E62" s="9">
        <v>45845</v>
      </c>
      <c r="F62" s="9">
        <v>45845</v>
      </c>
      <c r="G62" s="2" t="s">
        <v>1808</v>
      </c>
      <c r="H62" s="2" t="s">
        <v>1926</v>
      </c>
      <c r="I62" s="2" t="s">
        <v>12</v>
      </c>
      <c r="J62" s="2" t="s">
        <v>29</v>
      </c>
      <c r="K62" s="14" t="s">
        <v>1938</v>
      </c>
      <c r="L62" s="2">
        <v>5</v>
      </c>
      <c r="M62" s="2">
        <v>1</v>
      </c>
      <c r="N62" s="2">
        <f t="shared" si="0"/>
        <v>5</v>
      </c>
      <c r="O62">
        <v>0</v>
      </c>
    </row>
    <row r="63" spans="1:15" x14ac:dyDescent="0.25">
      <c r="A63">
        <v>58</v>
      </c>
      <c r="B63" s="2" t="s">
        <v>49</v>
      </c>
      <c r="C63" s="15" t="s">
        <v>1937</v>
      </c>
      <c r="D63" s="2" t="s">
        <v>12</v>
      </c>
      <c r="E63" s="9">
        <v>45839</v>
      </c>
      <c r="F63" s="9">
        <v>45839</v>
      </c>
      <c r="G63" s="2" t="s">
        <v>1808</v>
      </c>
      <c r="H63" s="2" t="s">
        <v>1926</v>
      </c>
      <c r="I63" s="2" t="s">
        <v>12</v>
      </c>
      <c r="J63" s="2" t="s">
        <v>29</v>
      </c>
      <c r="K63" s="14" t="s">
        <v>1938</v>
      </c>
      <c r="L63" s="2">
        <v>13</v>
      </c>
      <c r="M63" s="2">
        <v>1</v>
      </c>
      <c r="N63" s="2">
        <f t="shared" si="0"/>
        <v>13</v>
      </c>
      <c r="O63">
        <v>0</v>
      </c>
    </row>
    <row r="64" spans="1:15" x14ac:dyDescent="0.25">
      <c r="A64">
        <v>59</v>
      </c>
      <c r="B64" s="2" t="s">
        <v>49</v>
      </c>
      <c r="C64" s="23" t="s">
        <v>1904</v>
      </c>
      <c r="D64" s="2" t="s">
        <v>1905</v>
      </c>
      <c r="E64" s="9">
        <v>45839</v>
      </c>
      <c r="F64" s="9">
        <v>45868</v>
      </c>
      <c r="G64" s="2" t="s">
        <v>1808</v>
      </c>
      <c r="H64" s="2" t="s">
        <v>1926</v>
      </c>
      <c r="I64" s="2" t="s">
        <v>1905</v>
      </c>
      <c r="J64" s="2" t="s">
        <v>29</v>
      </c>
      <c r="K64" s="14" t="s">
        <v>1906</v>
      </c>
      <c r="L64" s="2">
        <v>1</v>
      </c>
      <c r="M64" s="2">
        <v>100</v>
      </c>
      <c r="N64" s="2">
        <f t="shared" si="0"/>
        <v>100</v>
      </c>
      <c r="O64" s="35">
        <v>93.1</v>
      </c>
    </row>
    <row r="65" spans="1:15" x14ac:dyDescent="0.25">
      <c r="A65">
        <v>60</v>
      </c>
      <c r="B65" s="2" t="s">
        <v>49</v>
      </c>
      <c r="C65" s="15" t="s">
        <v>1836</v>
      </c>
      <c r="D65" s="2" t="s">
        <v>12</v>
      </c>
      <c r="E65" s="9">
        <v>45839</v>
      </c>
      <c r="F65" s="9">
        <v>45868</v>
      </c>
      <c r="G65" s="2" t="s">
        <v>1808</v>
      </c>
      <c r="H65" s="2" t="s">
        <v>1926</v>
      </c>
      <c r="I65" s="2" t="s">
        <v>12</v>
      </c>
      <c r="J65" s="2" t="s">
        <v>29</v>
      </c>
      <c r="K65" s="14" t="s">
        <v>1837</v>
      </c>
      <c r="L65" s="2">
        <v>10</v>
      </c>
      <c r="M65" s="2">
        <v>12</v>
      </c>
      <c r="N65" s="2">
        <v>120</v>
      </c>
      <c r="O65" s="36">
        <v>69.822650467811755</v>
      </c>
    </row>
    <row r="66" spans="1:15" x14ac:dyDescent="0.25">
      <c r="A66">
        <v>61</v>
      </c>
      <c r="B66" s="2" t="s">
        <v>49</v>
      </c>
      <c r="C66" s="15" t="s">
        <v>1918</v>
      </c>
      <c r="D66" s="2" t="s">
        <v>12</v>
      </c>
      <c r="E66" s="9">
        <v>45809</v>
      </c>
      <c r="F66" s="9">
        <v>45838</v>
      </c>
      <c r="G66" s="2" t="s">
        <v>1808</v>
      </c>
      <c r="H66" s="2" t="s">
        <v>1926</v>
      </c>
      <c r="I66" s="2" t="s">
        <v>12</v>
      </c>
      <c r="J66" s="2" t="s">
        <v>29</v>
      </c>
      <c r="K66" s="14" t="s">
        <v>1910</v>
      </c>
      <c r="L66" s="2">
        <v>1</v>
      </c>
      <c r="M66" s="2">
        <v>60</v>
      </c>
      <c r="N66" s="2">
        <f t="shared" ref="N66" si="3">L66*M66</f>
        <v>60</v>
      </c>
      <c r="O66" s="36">
        <v>446.86496299399522</v>
      </c>
    </row>
    <row r="67" spans="1:15" x14ac:dyDescent="0.25">
      <c r="A67">
        <v>62</v>
      </c>
      <c r="B67" s="2" t="s">
        <v>49</v>
      </c>
      <c r="C67" s="15" t="s">
        <v>1940</v>
      </c>
      <c r="D67" s="2" t="s">
        <v>1905</v>
      </c>
      <c r="E67" s="9">
        <v>45856</v>
      </c>
      <c r="F67" s="9">
        <v>45868</v>
      </c>
      <c r="G67" s="2" t="s">
        <v>1808</v>
      </c>
      <c r="H67" s="2" t="s">
        <v>1926</v>
      </c>
      <c r="I67" s="2" t="s">
        <v>12</v>
      </c>
      <c r="J67" s="2" t="s">
        <v>29</v>
      </c>
      <c r="K67" s="14" t="s">
        <v>1939</v>
      </c>
      <c r="L67" s="2">
        <v>16</v>
      </c>
      <c r="M67" s="2">
        <v>1.5</v>
      </c>
      <c r="N67" s="2">
        <f t="shared" si="0"/>
        <v>24</v>
      </c>
      <c r="O67">
        <v>0</v>
      </c>
    </row>
    <row r="68" spans="1:15" x14ac:dyDescent="0.25">
      <c r="A68">
        <v>63</v>
      </c>
      <c r="B68" s="2" t="s">
        <v>49</v>
      </c>
      <c r="C68" s="15" t="s">
        <v>1941</v>
      </c>
      <c r="D68" s="2" t="s">
        <v>12</v>
      </c>
      <c r="E68" s="9">
        <v>45859</v>
      </c>
      <c r="F68" s="9">
        <v>45859</v>
      </c>
      <c r="G68" s="2" t="s">
        <v>1808</v>
      </c>
      <c r="H68" s="2" t="s">
        <v>1926</v>
      </c>
      <c r="I68" s="2" t="s">
        <v>12</v>
      </c>
      <c r="J68" s="2" t="s">
        <v>29</v>
      </c>
      <c r="K68" s="14" t="s">
        <v>1837</v>
      </c>
      <c r="L68" s="2">
        <v>4</v>
      </c>
      <c r="M68" s="2">
        <v>2</v>
      </c>
      <c r="N68" s="2">
        <f t="shared" si="0"/>
        <v>8</v>
      </c>
      <c r="O68" s="36">
        <v>0</v>
      </c>
    </row>
    <row r="69" spans="1:15" x14ac:dyDescent="0.25">
      <c r="A69">
        <v>64</v>
      </c>
      <c r="B69" s="2" t="s">
        <v>197</v>
      </c>
      <c r="C69" s="15" t="s">
        <v>1945</v>
      </c>
      <c r="D69" s="2" t="s">
        <v>12</v>
      </c>
      <c r="E69" s="9">
        <v>45880</v>
      </c>
      <c r="F69" s="9">
        <v>45881</v>
      </c>
      <c r="G69" s="2" t="s">
        <v>1808</v>
      </c>
      <c r="H69" s="2" t="s">
        <v>1926</v>
      </c>
      <c r="I69" s="2" t="s">
        <v>12</v>
      </c>
      <c r="J69" s="2" t="s">
        <v>29</v>
      </c>
      <c r="K69" s="14" t="s">
        <v>1946</v>
      </c>
      <c r="L69" s="2">
        <f>16+17</f>
        <v>33</v>
      </c>
      <c r="M69" s="2">
        <v>5</v>
      </c>
      <c r="N69" s="2">
        <f t="shared" si="0"/>
        <v>165</v>
      </c>
      <c r="O69" s="36">
        <f>2600000/T4</f>
        <v>2420.5185495508076</v>
      </c>
    </row>
    <row r="70" spans="1:15" x14ac:dyDescent="0.25">
      <c r="A70">
        <v>65</v>
      </c>
      <c r="B70" s="2" t="s">
        <v>197</v>
      </c>
      <c r="C70" s="15" t="s">
        <v>1947</v>
      </c>
      <c r="D70" s="2" t="s">
        <v>12</v>
      </c>
      <c r="E70" s="9">
        <v>45876</v>
      </c>
      <c r="F70" s="9">
        <v>45877</v>
      </c>
      <c r="G70" s="2" t="s">
        <v>1808</v>
      </c>
      <c r="H70" s="2" t="s">
        <v>1926</v>
      </c>
      <c r="I70" s="2" t="s">
        <v>12</v>
      </c>
      <c r="J70" s="2" t="s">
        <v>29</v>
      </c>
      <c r="K70" s="14" t="s">
        <v>1948</v>
      </c>
      <c r="L70" s="2">
        <v>21</v>
      </c>
      <c r="M70" s="2">
        <v>2</v>
      </c>
      <c r="N70" s="2">
        <f t="shared" ref="N70:N133" si="4">L70*M70</f>
        <v>42</v>
      </c>
      <c r="O70" s="36">
        <f>400000/T4</f>
        <v>372.38746916166269</v>
      </c>
    </row>
    <row r="71" spans="1:15" x14ac:dyDescent="0.25">
      <c r="A71">
        <v>66</v>
      </c>
      <c r="B71" s="2" t="s">
        <v>197</v>
      </c>
      <c r="C71" s="15" t="s">
        <v>1949</v>
      </c>
      <c r="D71" s="2" t="s">
        <v>12</v>
      </c>
      <c r="E71" s="9">
        <v>45875</v>
      </c>
      <c r="F71" s="9">
        <v>45875</v>
      </c>
      <c r="G71" s="2" t="s">
        <v>1808</v>
      </c>
      <c r="H71" s="2" t="s">
        <v>13</v>
      </c>
      <c r="I71" s="2" t="s">
        <v>12</v>
      </c>
      <c r="J71" s="2" t="s">
        <v>29</v>
      </c>
      <c r="K71" s="14" t="s">
        <v>1950</v>
      </c>
      <c r="L71" s="2">
        <v>8</v>
      </c>
      <c r="M71" s="2">
        <v>1</v>
      </c>
      <c r="N71" s="2">
        <f t="shared" si="4"/>
        <v>8</v>
      </c>
      <c r="O71" s="36">
        <v>0</v>
      </c>
    </row>
    <row r="72" spans="1:15" x14ac:dyDescent="0.25">
      <c r="A72">
        <v>67</v>
      </c>
      <c r="B72" s="2" t="s">
        <v>197</v>
      </c>
      <c r="C72" s="15" t="s">
        <v>1951</v>
      </c>
      <c r="D72" s="2" t="s">
        <v>12</v>
      </c>
      <c r="E72" s="9">
        <v>45875</v>
      </c>
      <c r="F72" s="9">
        <v>45875</v>
      </c>
      <c r="G72" s="2" t="s">
        <v>1808</v>
      </c>
      <c r="H72" s="2" t="s">
        <v>13</v>
      </c>
      <c r="I72" s="2" t="s">
        <v>12</v>
      </c>
      <c r="J72" s="2" t="s">
        <v>29</v>
      </c>
      <c r="K72" s="14" t="s">
        <v>1952</v>
      </c>
      <c r="L72" s="2">
        <v>8</v>
      </c>
      <c r="M72" s="2">
        <v>0.5</v>
      </c>
      <c r="N72" s="2">
        <f t="shared" si="4"/>
        <v>4</v>
      </c>
      <c r="O72" s="36">
        <v>0</v>
      </c>
    </row>
    <row r="73" spans="1:15" x14ac:dyDescent="0.25">
      <c r="A73">
        <v>68</v>
      </c>
      <c r="B73" s="2" t="s">
        <v>197</v>
      </c>
      <c r="C73" s="15" t="s">
        <v>1953</v>
      </c>
      <c r="D73" s="2" t="s">
        <v>12</v>
      </c>
      <c r="E73" s="9">
        <v>45873</v>
      </c>
      <c r="F73" s="9">
        <v>45873</v>
      </c>
      <c r="G73" s="2" t="s">
        <v>1808</v>
      </c>
      <c r="H73" s="2" t="s">
        <v>1926</v>
      </c>
      <c r="I73" s="2" t="s">
        <v>12</v>
      </c>
      <c r="J73" s="2" t="s">
        <v>29</v>
      </c>
      <c r="K73" s="14" t="s">
        <v>1954</v>
      </c>
      <c r="L73" s="2">
        <v>10</v>
      </c>
      <c r="M73" s="2">
        <v>4</v>
      </c>
      <c r="N73" s="2">
        <f t="shared" si="4"/>
        <v>40</v>
      </c>
      <c r="O73">
        <f>400000/T4</f>
        <v>372.38746916166269</v>
      </c>
    </row>
    <row r="74" spans="1:15" x14ac:dyDescent="0.25">
      <c r="A74">
        <v>69</v>
      </c>
      <c r="B74" s="2" t="s">
        <v>197</v>
      </c>
      <c r="C74" s="15" t="s">
        <v>1955</v>
      </c>
      <c r="D74" s="2" t="s">
        <v>12</v>
      </c>
      <c r="E74" s="9">
        <v>45890</v>
      </c>
      <c r="F74" s="9">
        <v>45891</v>
      </c>
      <c r="G74" s="2" t="s">
        <v>1808</v>
      </c>
      <c r="H74" s="2" t="s">
        <v>1926</v>
      </c>
      <c r="I74" s="2" t="s">
        <v>12</v>
      </c>
      <c r="J74" s="2" t="s">
        <v>29</v>
      </c>
      <c r="K74" s="14" t="s">
        <v>1956</v>
      </c>
      <c r="L74" s="2">
        <v>11</v>
      </c>
      <c r="M74" s="2">
        <v>4</v>
      </c>
      <c r="N74" s="2">
        <f t="shared" si="4"/>
        <v>44</v>
      </c>
      <c r="O74">
        <f>450000/T4</f>
        <v>418.9359028068705</v>
      </c>
    </row>
    <row r="75" spans="1:15" x14ac:dyDescent="0.25">
      <c r="A75">
        <v>70</v>
      </c>
      <c r="B75" s="2" t="s">
        <v>197</v>
      </c>
      <c r="C75" s="15" t="s">
        <v>1836</v>
      </c>
      <c r="D75" s="2" t="s">
        <v>12</v>
      </c>
      <c r="E75" s="9">
        <v>45870</v>
      </c>
      <c r="F75" s="9">
        <v>45884</v>
      </c>
      <c r="G75" s="2" t="s">
        <v>1808</v>
      </c>
      <c r="H75" s="2" t="s">
        <v>1926</v>
      </c>
      <c r="I75" s="2" t="s">
        <v>12</v>
      </c>
      <c r="J75" s="2" t="s">
        <v>29</v>
      </c>
      <c r="K75" s="14" t="s">
        <v>1837</v>
      </c>
      <c r="L75" s="2">
        <v>10</v>
      </c>
      <c r="M75" s="2">
        <v>4</v>
      </c>
      <c r="N75" s="2">
        <v>120</v>
      </c>
      <c r="O75" s="36">
        <v>69.822650467811755</v>
      </c>
    </row>
    <row r="76" spans="1:15" x14ac:dyDescent="0.25">
      <c r="A76">
        <v>71</v>
      </c>
      <c r="B76" s="2" t="s">
        <v>2981</v>
      </c>
      <c r="C76" s="15" t="s">
        <v>2982</v>
      </c>
      <c r="D76" s="2" t="s">
        <v>12</v>
      </c>
      <c r="E76" s="9">
        <v>45901</v>
      </c>
      <c r="F76" s="9">
        <v>45930</v>
      </c>
      <c r="G76" s="2" t="s">
        <v>1808</v>
      </c>
      <c r="H76" s="2" t="s">
        <v>1926</v>
      </c>
      <c r="I76" s="2" t="s">
        <v>12</v>
      </c>
      <c r="J76" s="2" t="s">
        <v>29</v>
      </c>
      <c r="K76" s="14" t="s">
        <v>1910</v>
      </c>
      <c r="L76" s="2">
        <v>1</v>
      </c>
      <c r="M76" s="2">
        <v>16</v>
      </c>
      <c r="N76" s="2">
        <f t="shared" si="4"/>
        <v>16</v>
      </c>
      <c r="O76">
        <f>160000/T4</f>
        <v>148.95498766466508</v>
      </c>
    </row>
    <row r="77" spans="1:15" x14ac:dyDescent="0.25">
      <c r="A77">
        <v>72</v>
      </c>
      <c r="B77" s="2" t="s">
        <v>2981</v>
      </c>
      <c r="C77" s="15" t="s">
        <v>1904</v>
      </c>
      <c r="D77" s="2" t="s">
        <v>12</v>
      </c>
      <c r="E77" s="9">
        <v>45901</v>
      </c>
      <c r="F77" s="9">
        <v>45930</v>
      </c>
      <c r="G77" s="2" t="s">
        <v>1808</v>
      </c>
      <c r="H77" s="2" t="s">
        <v>1926</v>
      </c>
      <c r="I77" s="2" t="s">
        <v>12</v>
      </c>
      <c r="J77" s="2" t="s">
        <v>29</v>
      </c>
      <c r="K77" s="14" t="s">
        <v>1906</v>
      </c>
      <c r="L77" s="2">
        <v>1</v>
      </c>
      <c r="M77" s="2">
        <v>200</v>
      </c>
      <c r="N77" s="2">
        <f t="shared" si="4"/>
        <v>200</v>
      </c>
      <c r="O77">
        <v>93.1</v>
      </c>
    </row>
    <row r="78" spans="1:15" x14ac:dyDescent="0.25">
      <c r="A78">
        <v>73</v>
      </c>
      <c r="B78" s="2" t="s">
        <v>2981</v>
      </c>
      <c r="C78" s="15" t="s">
        <v>2983</v>
      </c>
      <c r="D78" s="2" t="s">
        <v>12</v>
      </c>
      <c r="E78" s="9">
        <v>45908</v>
      </c>
      <c r="F78" s="9">
        <v>45911</v>
      </c>
      <c r="G78" s="2" t="s">
        <v>1808</v>
      </c>
      <c r="H78" s="2" t="s">
        <v>1926</v>
      </c>
      <c r="I78" s="2" t="s">
        <v>12</v>
      </c>
      <c r="J78" s="2" t="s">
        <v>29</v>
      </c>
      <c r="K78" s="14" t="s">
        <v>2984</v>
      </c>
      <c r="L78" s="2">
        <v>40</v>
      </c>
      <c r="M78" s="2">
        <v>4</v>
      </c>
      <c r="N78" s="2">
        <f t="shared" si="4"/>
        <v>160</v>
      </c>
      <c r="O78">
        <f>400000/T4</f>
        <v>372.38746916166269</v>
      </c>
    </row>
    <row r="79" spans="1:15" x14ac:dyDescent="0.25">
      <c r="A79">
        <v>74</v>
      </c>
      <c r="B79" s="2" t="s">
        <v>2981</v>
      </c>
      <c r="C79" s="15" t="s">
        <v>2985</v>
      </c>
      <c r="D79" s="2" t="s">
        <v>12</v>
      </c>
      <c r="E79" s="9">
        <v>45901</v>
      </c>
      <c r="F79" s="9">
        <v>45902</v>
      </c>
      <c r="G79" s="2" t="s">
        <v>1808</v>
      </c>
      <c r="H79" s="2" t="s">
        <v>1926</v>
      </c>
      <c r="I79" s="2" t="s">
        <v>12</v>
      </c>
      <c r="J79" s="2" t="s">
        <v>29</v>
      </c>
      <c r="K79" s="14" t="s">
        <v>1954</v>
      </c>
      <c r="L79" s="2">
        <v>35</v>
      </c>
      <c r="M79" s="2">
        <v>5</v>
      </c>
      <c r="N79" s="2">
        <f t="shared" si="4"/>
        <v>175</v>
      </c>
      <c r="O79">
        <f>2000000/T4</f>
        <v>1861.9373458083135</v>
      </c>
    </row>
    <row r="80" spans="1:15" x14ac:dyDescent="0.25">
      <c r="A80">
        <v>75</v>
      </c>
      <c r="B80" s="2" t="s">
        <v>2981</v>
      </c>
      <c r="C80" s="15" t="s">
        <v>2986</v>
      </c>
      <c r="D80" s="2" t="s">
        <v>12</v>
      </c>
      <c r="E80" s="9">
        <v>45901</v>
      </c>
      <c r="F80" s="9">
        <v>45902</v>
      </c>
      <c r="G80" s="2" t="s">
        <v>1808</v>
      </c>
      <c r="H80" s="2" t="s">
        <v>1926</v>
      </c>
      <c r="I80" s="2" t="s">
        <v>12</v>
      </c>
      <c r="J80" s="2" t="s">
        <v>29</v>
      </c>
      <c r="K80" s="14" t="s">
        <v>2987</v>
      </c>
      <c r="L80" s="2">
        <v>30</v>
      </c>
      <c r="M80" s="2">
        <v>4</v>
      </c>
      <c r="N80" s="2">
        <f t="shared" si="4"/>
        <v>120</v>
      </c>
      <c r="O80">
        <f>2600000/T4</f>
        <v>2420.5185495508076</v>
      </c>
    </row>
    <row r="81" spans="1:14" x14ac:dyDescent="0.25">
      <c r="A81">
        <v>76</v>
      </c>
      <c r="N81" s="2">
        <f t="shared" si="4"/>
        <v>0</v>
      </c>
    </row>
    <row r="82" spans="1:14" x14ac:dyDescent="0.25">
      <c r="A82">
        <v>77</v>
      </c>
      <c r="N82" s="2">
        <f t="shared" si="4"/>
        <v>0</v>
      </c>
    </row>
    <row r="83" spans="1:14" x14ac:dyDescent="0.25">
      <c r="A83">
        <v>78</v>
      </c>
      <c r="N83" s="2">
        <f t="shared" si="4"/>
        <v>0</v>
      </c>
    </row>
    <row r="84" spans="1:14" x14ac:dyDescent="0.25">
      <c r="A84">
        <v>79</v>
      </c>
      <c r="N84" s="2">
        <f t="shared" si="4"/>
        <v>0</v>
      </c>
    </row>
    <row r="85" spans="1:14" x14ac:dyDescent="0.25">
      <c r="A85">
        <v>80</v>
      </c>
      <c r="N85" s="2">
        <f t="shared" si="4"/>
        <v>0</v>
      </c>
    </row>
    <row r="86" spans="1:14" x14ac:dyDescent="0.25">
      <c r="A86">
        <v>81</v>
      </c>
      <c r="N86" s="2">
        <f t="shared" si="4"/>
        <v>0</v>
      </c>
    </row>
    <row r="87" spans="1:14" x14ac:dyDescent="0.25">
      <c r="A87">
        <v>82</v>
      </c>
      <c r="N87" s="2">
        <f t="shared" si="4"/>
        <v>0</v>
      </c>
    </row>
    <row r="88" spans="1:14" x14ac:dyDescent="0.25">
      <c r="A88">
        <v>83</v>
      </c>
      <c r="N88" s="2">
        <f t="shared" si="4"/>
        <v>0</v>
      </c>
    </row>
    <row r="89" spans="1:14" x14ac:dyDescent="0.25">
      <c r="A89">
        <v>84</v>
      </c>
      <c r="N89" s="2">
        <f t="shared" si="4"/>
        <v>0</v>
      </c>
    </row>
    <row r="90" spans="1:14" x14ac:dyDescent="0.25">
      <c r="A90">
        <v>85</v>
      </c>
      <c r="N90" s="2">
        <f t="shared" si="4"/>
        <v>0</v>
      </c>
    </row>
    <row r="91" spans="1:14" x14ac:dyDescent="0.25">
      <c r="A91">
        <v>86</v>
      </c>
      <c r="N91" s="2">
        <f t="shared" si="4"/>
        <v>0</v>
      </c>
    </row>
    <row r="92" spans="1:14" x14ac:dyDescent="0.25">
      <c r="A92">
        <v>87</v>
      </c>
      <c r="N92" s="2">
        <f t="shared" si="4"/>
        <v>0</v>
      </c>
    </row>
    <row r="93" spans="1:14" x14ac:dyDescent="0.25">
      <c r="A93">
        <v>88</v>
      </c>
      <c r="N93" s="2">
        <f t="shared" si="4"/>
        <v>0</v>
      </c>
    </row>
    <row r="94" spans="1:14" x14ac:dyDescent="0.25">
      <c r="A94">
        <v>89</v>
      </c>
      <c r="N94" s="2">
        <f t="shared" si="4"/>
        <v>0</v>
      </c>
    </row>
    <row r="95" spans="1:14" x14ac:dyDescent="0.25">
      <c r="A95">
        <v>90</v>
      </c>
      <c r="N95" s="2">
        <f t="shared" si="4"/>
        <v>0</v>
      </c>
    </row>
    <row r="96" spans="1:14" x14ac:dyDescent="0.25">
      <c r="A96">
        <v>91</v>
      </c>
      <c r="N96" s="2">
        <f t="shared" si="4"/>
        <v>0</v>
      </c>
    </row>
    <row r="97" spans="1:14" x14ac:dyDescent="0.25">
      <c r="A97">
        <v>92</v>
      </c>
      <c r="N97" s="2">
        <f t="shared" si="4"/>
        <v>0</v>
      </c>
    </row>
    <row r="98" spans="1:14" x14ac:dyDescent="0.25">
      <c r="A98">
        <v>93</v>
      </c>
      <c r="N98" s="2">
        <f t="shared" si="4"/>
        <v>0</v>
      </c>
    </row>
    <row r="99" spans="1:14" x14ac:dyDescent="0.25">
      <c r="A99">
        <v>94</v>
      </c>
      <c r="N99" s="2">
        <f t="shared" si="4"/>
        <v>0</v>
      </c>
    </row>
    <row r="100" spans="1:14" x14ac:dyDescent="0.25">
      <c r="A100">
        <v>95</v>
      </c>
      <c r="N100" s="2">
        <f t="shared" si="4"/>
        <v>0</v>
      </c>
    </row>
    <row r="101" spans="1:14" x14ac:dyDescent="0.25">
      <c r="A101">
        <v>96</v>
      </c>
      <c r="N101" s="2">
        <f t="shared" si="4"/>
        <v>0</v>
      </c>
    </row>
    <row r="102" spans="1:14" x14ac:dyDescent="0.25">
      <c r="A102">
        <v>97</v>
      </c>
      <c r="N102" s="2">
        <f t="shared" si="4"/>
        <v>0</v>
      </c>
    </row>
    <row r="103" spans="1:14" x14ac:dyDescent="0.25">
      <c r="A103">
        <v>98</v>
      </c>
      <c r="N103" s="2">
        <f t="shared" si="4"/>
        <v>0</v>
      </c>
    </row>
    <row r="104" spans="1:14" x14ac:dyDescent="0.25">
      <c r="A104">
        <v>99</v>
      </c>
      <c r="N104" s="2">
        <f t="shared" si="4"/>
        <v>0</v>
      </c>
    </row>
    <row r="105" spans="1:14" x14ac:dyDescent="0.25">
      <c r="A105">
        <v>100</v>
      </c>
      <c r="N105" s="2">
        <f t="shared" si="4"/>
        <v>0</v>
      </c>
    </row>
    <row r="106" spans="1:14" x14ac:dyDescent="0.25">
      <c r="A106">
        <v>101</v>
      </c>
      <c r="N106" s="2">
        <f t="shared" si="4"/>
        <v>0</v>
      </c>
    </row>
    <row r="107" spans="1:14" x14ac:dyDescent="0.25">
      <c r="A107">
        <v>102</v>
      </c>
      <c r="N107" s="2">
        <f t="shared" si="4"/>
        <v>0</v>
      </c>
    </row>
    <row r="108" spans="1:14" x14ac:dyDescent="0.25">
      <c r="A108">
        <v>103</v>
      </c>
      <c r="N108" s="2">
        <f t="shared" si="4"/>
        <v>0</v>
      </c>
    </row>
    <row r="109" spans="1:14" x14ac:dyDescent="0.25">
      <c r="A109">
        <v>104</v>
      </c>
      <c r="N109" s="2">
        <f t="shared" si="4"/>
        <v>0</v>
      </c>
    </row>
    <row r="110" spans="1:14" x14ac:dyDescent="0.25">
      <c r="A110">
        <v>105</v>
      </c>
      <c r="N110" s="2">
        <f t="shared" si="4"/>
        <v>0</v>
      </c>
    </row>
    <row r="111" spans="1:14" x14ac:dyDescent="0.25">
      <c r="A111">
        <v>106</v>
      </c>
      <c r="N111" s="2">
        <f t="shared" si="4"/>
        <v>0</v>
      </c>
    </row>
    <row r="112" spans="1:14" x14ac:dyDescent="0.25">
      <c r="A112">
        <v>107</v>
      </c>
      <c r="N112" s="2">
        <f t="shared" si="4"/>
        <v>0</v>
      </c>
    </row>
    <row r="113" spans="1:14" x14ac:dyDescent="0.25">
      <c r="A113">
        <v>108</v>
      </c>
      <c r="N113" s="2">
        <f t="shared" si="4"/>
        <v>0</v>
      </c>
    </row>
    <row r="114" spans="1:14" x14ac:dyDescent="0.25">
      <c r="A114">
        <v>109</v>
      </c>
      <c r="N114" s="2">
        <f t="shared" si="4"/>
        <v>0</v>
      </c>
    </row>
    <row r="115" spans="1:14" x14ac:dyDescent="0.25">
      <c r="A115">
        <v>110</v>
      </c>
      <c r="N115" s="2">
        <f t="shared" si="4"/>
        <v>0</v>
      </c>
    </row>
    <row r="116" spans="1:14" x14ac:dyDescent="0.25">
      <c r="A116">
        <v>111</v>
      </c>
      <c r="N116" s="2">
        <f t="shared" si="4"/>
        <v>0</v>
      </c>
    </row>
    <row r="117" spans="1:14" x14ac:dyDescent="0.25">
      <c r="A117">
        <v>112</v>
      </c>
      <c r="N117" s="2">
        <f t="shared" si="4"/>
        <v>0</v>
      </c>
    </row>
    <row r="118" spans="1:14" x14ac:dyDescent="0.25">
      <c r="A118">
        <v>113</v>
      </c>
      <c r="N118" s="2">
        <f t="shared" si="4"/>
        <v>0</v>
      </c>
    </row>
    <row r="119" spans="1:14" x14ac:dyDescent="0.25">
      <c r="A119">
        <v>114</v>
      </c>
      <c r="N119" s="2">
        <f t="shared" si="4"/>
        <v>0</v>
      </c>
    </row>
    <row r="120" spans="1:14" x14ac:dyDescent="0.25">
      <c r="A120">
        <v>115</v>
      </c>
      <c r="N120" s="2">
        <f t="shared" si="4"/>
        <v>0</v>
      </c>
    </row>
    <row r="121" spans="1:14" x14ac:dyDescent="0.25">
      <c r="A121">
        <v>116</v>
      </c>
      <c r="N121" s="2">
        <f t="shared" si="4"/>
        <v>0</v>
      </c>
    </row>
    <row r="122" spans="1:14" x14ac:dyDescent="0.25">
      <c r="A122">
        <v>117</v>
      </c>
      <c r="N122" s="2">
        <f t="shared" si="4"/>
        <v>0</v>
      </c>
    </row>
    <row r="123" spans="1:14" x14ac:dyDescent="0.25">
      <c r="A123">
        <v>118</v>
      </c>
      <c r="N123" s="2">
        <f t="shared" si="4"/>
        <v>0</v>
      </c>
    </row>
    <row r="124" spans="1:14" x14ac:dyDescent="0.25">
      <c r="A124">
        <v>119</v>
      </c>
      <c r="N124" s="2">
        <f t="shared" si="4"/>
        <v>0</v>
      </c>
    </row>
    <row r="125" spans="1:14" x14ac:dyDescent="0.25">
      <c r="A125">
        <v>120</v>
      </c>
      <c r="N125" s="2">
        <f t="shared" si="4"/>
        <v>0</v>
      </c>
    </row>
    <row r="126" spans="1:14" x14ac:dyDescent="0.25">
      <c r="A126">
        <v>121</v>
      </c>
      <c r="N126" s="2">
        <f t="shared" si="4"/>
        <v>0</v>
      </c>
    </row>
    <row r="127" spans="1:14" x14ac:dyDescent="0.25">
      <c r="A127">
        <v>122</v>
      </c>
      <c r="N127" s="2">
        <f t="shared" si="4"/>
        <v>0</v>
      </c>
    </row>
    <row r="128" spans="1:14" x14ac:dyDescent="0.25">
      <c r="A128">
        <v>123</v>
      </c>
      <c r="N128" s="2">
        <f t="shared" si="4"/>
        <v>0</v>
      </c>
    </row>
    <row r="129" spans="1:14" x14ac:dyDescent="0.25">
      <c r="A129">
        <v>124</v>
      </c>
      <c r="N129" s="2">
        <f t="shared" si="4"/>
        <v>0</v>
      </c>
    </row>
    <row r="130" spans="1:14" x14ac:dyDescent="0.25">
      <c r="A130">
        <v>125</v>
      </c>
      <c r="N130" s="2">
        <f t="shared" si="4"/>
        <v>0</v>
      </c>
    </row>
    <row r="131" spans="1:14" x14ac:dyDescent="0.25">
      <c r="A131">
        <v>126</v>
      </c>
      <c r="N131" s="2">
        <f t="shared" si="4"/>
        <v>0</v>
      </c>
    </row>
    <row r="132" spans="1:14" x14ac:dyDescent="0.25">
      <c r="A132">
        <v>127</v>
      </c>
      <c r="N132" s="2">
        <f t="shared" si="4"/>
        <v>0</v>
      </c>
    </row>
    <row r="133" spans="1:14" x14ac:dyDescent="0.25">
      <c r="A133">
        <v>128</v>
      </c>
      <c r="N133" s="2">
        <f t="shared" si="4"/>
        <v>0</v>
      </c>
    </row>
    <row r="134" spans="1:14" x14ac:dyDescent="0.25">
      <c r="A134">
        <v>129</v>
      </c>
      <c r="N134" s="2">
        <f t="shared" ref="N134:N164" si="5">L134*M134</f>
        <v>0</v>
      </c>
    </row>
    <row r="135" spans="1:14" x14ac:dyDescent="0.25">
      <c r="A135">
        <v>130</v>
      </c>
      <c r="N135" s="2">
        <f t="shared" si="5"/>
        <v>0</v>
      </c>
    </row>
    <row r="136" spans="1:14" x14ac:dyDescent="0.25">
      <c r="A136">
        <v>131</v>
      </c>
      <c r="N136" s="2">
        <f t="shared" si="5"/>
        <v>0</v>
      </c>
    </row>
    <row r="137" spans="1:14" x14ac:dyDescent="0.25">
      <c r="A137">
        <v>132</v>
      </c>
      <c r="N137" s="2">
        <f t="shared" si="5"/>
        <v>0</v>
      </c>
    </row>
    <row r="138" spans="1:14" x14ac:dyDescent="0.25">
      <c r="A138">
        <v>133</v>
      </c>
      <c r="N138" s="2">
        <f t="shared" si="5"/>
        <v>0</v>
      </c>
    </row>
    <row r="139" spans="1:14" x14ac:dyDescent="0.25">
      <c r="A139">
        <v>134</v>
      </c>
      <c r="N139" s="2">
        <f t="shared" si="5"/>
        <v>0</v>
      </c>
    </row>
    <row r="140" spans="1:14" x14ac:dyDescent="0.25">
      <c r="A140">
        <v>135</v>
      </c>
      <c r="N140" s="2">
        <f t="shared" si="5"/>
        <v>0</v>
      </c>
    </row>
    <row r="141" spans="1:14" x14ac:dyDescent="0.25">
      <c r="A141">
        <v>136</v>
      </c>
      <c r="N141" s="2">
        <f t="shared" si="5"/>
        <v>0</v>
      </c>
    </row>
    <row r="142" spans="1:14" x14ac:dyDescent="0.25">
      <c r="A142">
        <v>137</v>
      </c>
      <c r="N142" s="2">
        <f t="shared" si="5"/>
        <v>0</v>
      </c>
    </row>
    <row r="143" spans="1:14" x14ac:dyDescent="0.25">
      <c r="A143">
        <v>138</v>
      </c>
      <c r="N143" s="2">
        <f t="shared" si="5"/>
        <v>0</v>
      </c>
    </row>
    <row r="144" spans="1:14" x14ac:dyDescent="0.25">
      <c r="A144">
        <v>139</v>
      </c>
      <c r="N144" s="2">
        <f t="shared" si="5"/>
        <v>0</v>
      </c>
    </row>
    <row r="145" spans="1:14" x14ac:dyDescent="0.25">
      <c r="A145">
        <v>140</v>
      </c>
      <c r="N145" s="2">
        <f t="shared" si="5"/>
        <v>0</v>
      </c>
    </row>
    <row r="146" spans="1:14" x14ac:dyDescent="0.25">
      <c r="A146">
        <v>141</v>
      </c>
      <c r="N146" s="2">
        <f t="shared" si="5"/>
        <v>0</v>
      </c>
    </row>
    <row r="147" spans="1:14" x14ac:dyDescent="0.25">
      <c r="A147">
        <v>142</v>
      </c>
      <c r="N147" s="2">
        <f t="shared" si="5"/>
        <v>0</v>
      </c>
    </row>
    <row r="148" spans="1:14" x14ac:dyDescent="0.25">
      <c r="A148">
        <v>143</v>
      </c>
      <c r="N148" s="2">
        <f t="shared" si="5"/>
        <v>0</v>
      </c>
    </row>
    <row r="149" spans="1:14" x14ac:dyDescent="0.25">
      <c r="A149">
        <v>144</v>
      </c>
      <c r="N149" s="2">
        <f t="shared" si="5"/>
        <v>0</v>
      </c>
    </row>
    <row r="150" spans="1:14" x14ac:dyDescent="0.25">
      <c r="A150">
        <v>145</v>
      </c>
      <c r="N150" s="2">
        <f t="shared" si="5"/>
        <v>0</v>
      </c>
    </row>
    <row r="151" spans="1:14" x14ac:dyDescent="0.25">
      <c r="A151">
        <v>146</v>
      </c>
      <c r="N151" s="2">
        <f t="shared" si="5"/>
        <v>0</v>
      </c>
    </row>
    <row r="152" spans="1:14" x14ac:dyDescent="0.25">
      <c r="A152">
        <v>147</v>
      </c>
      <c r="N152" s="2">
        <f t="shared" si="5"/>
        <v>0</v>
      </c>
    </row>
    <row r="153" spans="1:14" x14ac:dyDescent="0.25">
      <c r="A153">
        <v>148</v>
      </c>
      <c r="N153" s="2">
        <f t="shared" si="5"/>
        <v>0</v>
      </c>
    </row>
    <row r="154" spans="1:14" x14ac:dyDescent="0.25">
      <c r="A154">
        <v>149</v>
      </c>
      <c r="N154" s="2">
        <f t="shared" si="5"/>
        <v>0</v>
      </c>
    </row>
    <row r="155" spans="1:14" x14ac:dyDescent="0.25">
      <c r="A155">
        <v>150</v>
      </c>
      <c r="N155" s="2">
        <f t="shared" si="5"/>
        <v>0</v>
      </c>
    </row>
    <row r="156" spans="1:14" x14ac:dyDescent="0.25">
      <c r="A156">
        <v>151</v>
      </c>
      <c r="N156" s="2">
        <f t="shared" si="5"/>
        <v>0</v>
      </c>
    </row>
    <row r="157" spans="1:14" x14ac:dyDescent="0.25">
      <c r="A157">
        <v>152</v>
      </c>
      <c r="N157" s="2">
        <f t="shared" si="5"/>
        <v>0</v>
      </c>
    </row>
    <row r="158" spans="1:14" x14ac:dyDescent="0.25">
      <c r="A158">
        <v>153</v>
      </c>
      <c r="N158" s="2">
        <f t="shared" si="5"/>
        <v>0</v>
      </c>
    </row>
    <row r="159" spans="1:14" x14ac:dyDescent="0.25">
      <c r="A159">
        <v>154</v>
      </c>
      <c r="N159" s="2">
        <f t="shared" si="5"/>
        <v>0</v>
      </c>
    </row>
    <row r="160" spans="1:14" x14ac:dyDescent="0.25">
      <c r="A160">
        <v>155</v>
      </c>
      <c r="N160" s="2">
        <f t="shared" si="5"/>
        <v>0</v>
      </c>
    </row>
    <row r="161" spans="1:14" x14ac:dyDescent="0.25">
      <c r="A161">
        <v>156</v>
      </c>
      <c r="N161" s="2">
        <f t="shared" si="5"/>
        <v>0</v>
      </c>
    </row>
    <row r="162" spans="1:14" x14ac:dyDescent="0.25">
      <c r="A162">
        <v>157</v>
      </c>
      <c r="N162" s="2">
        <f t="shared" si="5"/>
        <v>0</v>
      </c>
    </row>
    <row r="163" spans="1:14" x14ac:dyDescent="0.25">
      <c r="A163">
        <v>158</v>
      </c>
      <c r="N163" s="2">
        <f t="shared" si="5"/>
        <v>0</v>
      </c>
    </row>
    <row r="164" spans="1:14" x14ac:dyDescent="0.25">
      <c r="A164">
        <v>159</v>
      </c>
      <c r="N164" s="2">
        <f t="shared" si="5"/>
        <v>0</v>
      </c>
    </row>
    <row r="165" spans="1:14" x14ac:dyDescent="0.25">
      <c r="N165" s="2">
        <f>SUM(N6:N164)</f>
        <v>5243</v>
      </c>
    </row>
  </sheetData>
  <autoFilter ref="A5:T165" xr:uid="{2138C013-8D79-4AAB-909E-B4CB7350CFEB}">
    <sortState xmlns:xlrd2="http://schemas.microsoft.com/office/spreadsheetml/2017/richdata2" ref="A6:T22">
      <sortCondition ref="A5"/>
    </sortState>
  </autoFilter>
  <mergeCells count="1">
    <mergeCell ref="P3:Q3"/>
  </mergeCells>
  <phoneticPr fontId="9" type="noConversion"/>
  <pageMargins left="0.7" right="0.7" top="0.75" bottom="0.75" header="0.3" footer="0.3"/>
  <pageSetup paperSize="9" scale="38" fitToHeight="0" orientation="landscape" r:id="rId1"/>
  <customProperties>
    <customPr name="EpmWorksheetKeyString_GUID" r:id="rId2"/>
  </customPropertie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79629-B1AE-4D9E-8154-19A0D7785493}">
  <dimension ref="A1:I1006"/>
  <sheetViews>
    <sheetView tabSelected="1" zoomScaleNormal="100" workbookViewId="0">
      <pane ySplit="1" topLeftCell="A958" activePane="bottomLeft" state="frozen"/>
      <selection pane="bottomLeft" activeCell="A969" sqref="A969"/>
    </sheetView>
  </sheetViews>
  <sheetFormatPr baseColWidth="10" defaultRowHeight="15" x14ac:dyDescent="0.25"/>
  <cols>
    <col min="1" max="1" width="7.28515625" style="2" bestFit="1" customWidth="1"/>
    <col min="3" max="3" width="11.42578125" customWidth="1"/>
    <col min="4" max="4" width="23.28515625" style="20" bestFit="1" customWidth="1"/>
    <col min="5" max="5" width="42.42578125" style="20" bestFit="1" customWidth="1"/>
    <col min="6" max="6" width="23.140625" style="20" customWidth="1"/>
    <col min="7" max="7" width="50" style="2" bestFit="1" customWidth="1"/>
    <col min="8" max="8" width="49.7109375" style="2" customWidth="1"/>
    <col min="9" max="9" width="12.85546875" style="2" customWidth="1"/>
  </cols>
  <sheetData>
    <row r="1" spans="1:9" ht="27.75" customHeight="1" x14ac:dyDescent="0.25">
      <c r="A1" s="1" t="s">
        <v>35</v>
      </c>
      <c r="B1" s="1" t="s">
        <v>234</v>
      </c>
      <c r="C1" s="1" t="s">
        <v>1620</v>
      </c>
      <c r="D1" s="1" t="s">
        <v>190</v>
      </c>
      <c r="E1" s="1" t="s">
        <v>18</v>
      </c>
      <c r="F1" s="1" t="s">
        <v>19</v>
      </c>
      <c r="G1" s="21" t="s">
        <v>20</v>
      </c>
      <c r="H1" s="21" t="s">
        <v>21</v>
      </c>
      <c r="I1" s="21" t="s">
        <v>1944</v>
      </c>
    </row>
    <row r="2" spans="1:9" x14ac:dyDescent="0.25">
      <c r="A2" s="2">
        <v>1</v>
      </c>
      <c r="B2" t="str">
        <f>VLOOKUP(A2,'Informe 2025'!$1:$1048576,2,FALSE)</f>
        <v>MARZO</v>
      </c>
      <c r="C2" s="25" t="s">
        <v>1649</v>
      </c>
      <c r="D2" s="20" t="str">
        <f>VLOOKUP(C2,ID!$1:$1048576,4,FALSE)</f>
        <v>103963</v>
      </c>
      <c r="E2" s="20" t="str">
        <f>VLOOKUP(C2,ID!$1:$1048576,3,FALSE)</f>
        <v xml:space="preserve"> YEREZIM DIANA</v>
      </c>
      <c r="F2" s="20" t="str">
        <f>VLOOKUP(C2,ID!$1:$1048576,2,FALSE)</f>
        <v>JIMENEZ HIDALGO</v>
      </c>
      <c r="G2" s="2" t="str">
        <f>VLOOKUP(D2,CORREOS!$A$2:$B$570,2,FALSE)</f>
        <v>YHURTADO@antayhoteles.cl</v>
      </c>
      <c r="H2" s="24" t="str">
        <f>VLOOKUP(A2,'Informe 2025'!$A$5:$C$164,3,FALSE)</f>
        <v>Introducción al mundo de la cocteleria</v>
      </c>
      <c r="I2">
        <v>2</v>
      </c>
    </row>
    <row r="3" spans="1:9" x14ac:dyDescent="0.25">
      <c r="A3" s="2">
        <v>1</v>
      </c>
      <c r="B3" t="str">
        <f>VLOOKUP(A3,'Informe 2025'!$1:$1048576,2,FALSE)</f>
        <v>MARZO</v>
      </c>
      <c r="C3" s="25" t="s">
        <v>1632</v>
      </c>
      <c r="D3" s="20" t="str">
        <f>VLOOKUP(C3,ID!$1:$1048576,4,FALSE)</f>
        <v>103252</v>
      </c>
      <c r="E3" s="20" t="str">
        <f>VLOOKUP(C3,ID!$1:$1048576,3,FALSE)</f>
        <v xml:space="preserve"> DIEGO ADRIAN</v>
      </c>
      <c r="F3" s="20" t="str">
        <f>VLOOKUP(C3,ID!$1:$1048576,2,FALSE)</f>
        <v>BARREAU FLORES</v>
      </c>
      <c r="G3" s="2" t="str">
        <f>VLOOKUP(D3,CORREOS!$A$2:$B$570,2,FALSE)</f>
        <v>DBARREAU@antayhoteles.cl</v>
      </c>
      <c r="H3" s="24" t="str">
        <f>VLOOKUP(A3,'Informe 2025'!$A$5:$C$164,3,FALSE)</f>
        <v>Introducción al mundo de la cocteleria</v>
      </c>
      <c r="I3">
        <v>2</v>
      </c>
    </row>
    <row r="4" spans="1:9" x14ac:dyDescent="0.25">
      <c r="A4" s="2">
        <v>1</v>
      </c>
      <c r="B4" t="str">
        <f>VLOOKUP(A4,'Informe 2025'!$1:$1048576,2,FALSE)</f>
        <v>MARZO</v>
      </c>
      <c r="C4" s="25" t="s">
        <v>1648</v>
      </c>
      <c r="D4" s="20" t="str">
        <f>VLOOKUP(C4,ID!$1:$1048576,4,FALSE)</f>
        <v>103965</v>
      </c>
      <c r="E4" s="20" t="str">
        <f>VLOOKUP(C4,ID!$1:$1048576,3,FALSE)</f>
        <v xml:space="preserve"> YIRLEY YURANI</v>
      </c>
      <c r="F4" s="20" t="str">
        <f>VLOOKUP(C4,ID!$1:$1048576,2,FALSE)</f>
        <v>HURTADO PRADO</v>
      </c>
      <c r="G4" s="2" t="str">
        <f>VLOOKUP(D4,CORREOS!$A$2:$B$570,2,FALSE)</f>
        <v>YJHIDALGO@antayhoteles.cl</v>
      </c>
      <c r="H4" s="24" t="str">
        <f>VLOOKUP(A4,'Informe 2025'!$A$5:$C$164,3,FALSE)</f>
        <v>Introducción al mundo de la cocteleria</v>
      </c>
      <c r="I4">
        <v>2</v>
      </c>
    </row>
    <row r="5" spans="1:9" x14ac:dyDescent="0.25">
      <c r="A5" s="2">
        <v>1</v>
      </c>
      <c r="B5" t="str">
        <f>VLOOKUP(A5,'Informe 2025'!$1:$1048576,2,FALSE)</f>
        <v>MARZO</v>
      </c>
      <c r="C5" s="25" t="s">
        <v>390</v>
      </c>
      <c r="D5" s="20" t="str">
        <f>VLOOKUP(C5,ID!$1:$1048576,4,FALSE)</f>
        <v>102642</v>
      </c>
      <c r="E5" s="20" t="str">
        <f>VLOOKUP(C5,ID!$1:$1048576,3,FALSE)</f>
        <v xml:space="preserve"> JOSE LUIS</v>
      </c>
      <c r="F5" s="20" t="str">
        <f>VLOOKUP(C5,ID!$1:$1048576,2,FALSE)</f>
        <v>JIMENEZ VILLALOBOS</v>
      </c>
      <c r="G5" s="2" t="str">
        <f>VLOOKUP(D5,CORREOS!$A$2:$B$570,2,FALSE)</f>
        <v>JJVILLALOBOS@ANTAYHOTELES.CL</v>
      </c>
      <c r="H5" s="24" t="str">
        <f>VLOOKUP(A5,'Informe 2025'!$A$5:$C$164,3,FALSE)</f>
        <v>Introducción al mundo de la cocteleria</v>
      </c>
      <c r="I5">
        <f>VLOOKUP(H5,'Informe 2025'!$C$6:$M$166,11,FALSE)</f>
        <v>2</v>
      </c>
    </row>
    <row r="6" spans="1:9" x14ac:dyDescent="0.25">
      <c r="A6" s="2">
        <v>1</v>
      </c>
      <c r="B6" t="str">
        <f>VLOOKUP(A6,'Informe 2025'!$1:$1048576,2,FALSE)</f>
        <v>MARZO</v>
      </c>
      <c r="C6" s="25" t="s">
        <v>364</v>
      </c>
      <c r="D6" s="20" t="str">
        <f>VLOOKUP(C6,ID!$1:$1048576,4,FALSE)</f>
        <v>102982</v>
      </c>
      <c r="E6" s="20" t="str">
        <f>VLOOKUP(C6,ID!$1:$1048576,3,FALSE)</f>
        <v xml:space="preserve"> CELINA</v>
      </c>
      <c r="F6" s="20" t="str">
        <f>VLOOKUP(C6,ID!$1:$1048576,2,FALSE)</f>
        <v>GOMEZ OJEDA</v>
      </c>
      <c r="G6" s="2" t="str">
        <f>VLOOKUP(D6,CORREOS!$A$2:$B$570,2,FALSE)</f>
        <v>CGOJEDA@ANTAYHOTELES.CL</v>
      </c>
      <c r="H6" s="24" t="str">
        <f>VLOOKUP(A6,'Informe 2025'!$A$5:$C$164,3,FALSE)</f>
        <v>Introducción al mundo de la cocteleria</v>
      </c>
      <c r="I6">
        <f>VLOOKUP(H6,'Informe 2025'!$C$6:$M$166,11,FALSE)</f>
        <v>2</v>
      </c>
    </row>
    <row r="7" spans="1:9" x14ac:dyDescent="0.25">
      <c r="A7" s="2">
        <v>2</v>
      </c>
      <c r="B7" t="str">
        <f>VLOOKUP(A7,'Informe 2025'!$1:$1048576,2,FALSE)</f>
        <v>MARZO</v>
      </c>
      <c r="C7" s="25" t="s">
        <v>1632</v>
      </c>
      <c r="D7" s="20" t="str">
        <f>VLOOKUP(C7,ID!$1:$1048576,4,FALSE)</f>
        <v>103252</v>
      </c>
      <c r="E7" s="20" t="str">
        <f>VLOOKUP(C7,ID!$1:$1048576,3,FALSE)</f>
        <v xml:space="preserve"> DIEGO ADRIAN</v>
      </c>
      <c r="F7" s="20" t="str">
        <f>VLOOKUP(C7,ID!$1:$1048576,2,FALSE)</f>
        <v>BARREAU FLORES</v>
      </c>
      <c r="G7" s="2" t="str">
        <f>VLOOKUP(D7,CORREOS!$A$2:$B$570,2,FALSE)</f>
        <v>DBARREAU@antayhoteles.cl</v>
      </c>
      <c r="H7" s="24" t="str">
        <f>VLOOKUP(A7,'Informe 2025'!$A$5:$C$164,3,FALSE)</f>
        <v>Secuencia de servicio</v>
      </c>
      <c r="I7">
        <f>VLOOKUP(H7,'Informe 2025'!$C$6:$M$166,11,FALSE)</f>
        <v>2</v>
      </c>
    </row>
    <row r="8" spans="1:9" x14ac:dyDescent="0.25">
      <c r="A8" s="2">
        <v>2</v>
      </c>
      <c r="B8" t="str">
        <f>VLOOKUP(A8,'Informe 2025'!$1:$1048576,2,FALSE)</f>
        <v>MARZO</v>
      </c>
      <c r="C8" s="25" t="s">
        <v>1648</v>
      </c>
      <c r="D8" s="20" t="str">
        <f>VLOOKUP(C8,ID!$1:$1048576,4,FALSE)</f>
        <v>103965</v>
      </c>
      <c r="E8" s="20" t="str">
        <f>VLOOKUP(C8,ID!$1:$1048576,3,FALSE)</f>
        <v xml:space="preserve"> YIRLEY YURANI</v>
      </c>
      <c r="F8" s="20" t="str">
        <f>VLOOKUP(C8,ID!$1:$1048576,2,FALSE)</f>
        <v>HURTADO PRADO</v>
      </c>
      <c r="G8" s="2" t="str">
        <f>VLOOKUP(D8,CORREOS!$A$2:$B$570,2,FALSE)</f>
        <v>YJHIDALGO@antayhoteles.cl</v>
      </c>
      <c r="H8" s="24" t="str">
        <f>VLOOKUP(A8,'Informe 2025'!$A$5:$C$164,3,FALSE)</f>
        <v>Secuencia de servicio</v>
      </c>
      <c r="I8">
        <f>VLOOKUP(H8,'Informe 2025'!$C$6:$M$166,11,FALSE)</f>
        <v>2</v>
      </c>
    </row>
    <row r="9" spans="1:9" x14ac:dyDescent="0.25">
      <c r="A9" s="2">
        <v>2</v>
      </c>
      <c r="B9" t="str">
        <f>VLOOKUP(A9,'Informe 2025'!$1:$1048576,2,FALSE)</f>
        <v>MARZO</v>
      </c>
      <c r="C9" s="25" t="s">
        <v>390</v>
      </c>
      <c r="D9" s="20" t="str">
        <f>VLOOKUP(C9,ID!$1:$1048576,4,FALSE)</f>
        <v>102642</v>
      </c>
      <c r="E9" s="20" t="str">
        <f>VLOOKUP(C9,ID!$1:$1048576,3,FALSE)</f>
        <v xml:space="preserve"> JOSE LUIS</v>
      </c>
      <c r="F9" s="20" t="str">
        <f>VLOOKUP(C9,ID!$1:$1048576,2,FALSE)</f>
        <v>JIMENEZ VILLALOBOS</v>
      </c>
      <c r="G9" s="2" t="str">
        <f>VLOOKUP(D9,CORREOS!$A$2:$B$570,2,FALSE)</f>
        <v>JJVILLALOBOS@ANTAYHOTELES.CL</v>
      </c>
      <c r="H9" s="24" t="str">
        <f>VLOOKUP(A9,'Informe 2025'!$A$5:$C$164,3,FALSE)</f>
        <v>Secuencia de servicio</v>
      </c>
      <c r="I9">
        <f>VLOOKUP(H9,'Informe 2025'!$C$6:$M$166,11,FALSE)</f>
        <v>2</v>
      </c>
    </row>
    <row r="10" spans="1:9" x14ac:dyDescent="0.25">
      <c r="A10" s="2">
        <v>2</v>
      </c>
      <c r="B10" t="str">
        <f>VLOOKUP(A10,'Informe 2025'!$1:$1048576,2,FALSE)</f>
        <v>MARZO</v>
      </c>
      <c r="C10" s="25" t="s">
        <v>364</v>
      </c>
      <c r="D10" s="20" t="str">
        <f>VLOOKUP(C10,ID!$1:$1048576,4,FALSE)</f>
        <v>102982</v>
      </c>
      <c r="E10" s="20" t="str">
        <f>VLOOKUP(C10,ID!$1:$1048576,3,FALSE)</f>
        <v xml:space="preserve"> CELINA</v>
      </c>
      <c r="F10" s="20" t="str">
        <f>VLOOKUP(C10,ID!$1:$1048576,2,FALSE)</f>
        <v>GOMEZ OJEDA</v>
      </c>
      <c r="G10" s="2" t="str">
        <f>VLOOKUP(D10,CORREOS!$A$2:$B$570,2,FALSE)</f>
        <v>CGOJEDA@ANTAYHOTELES.CL</v>
      </c>
      <c r="H10" s="24" t="str">
        <f>VLOOKUP(A10,'Informe 2025'!$A$5:$C$164,3,FALSE)</f>
        <v>Secuencia de servicio</v>
      </c>
      <c r="I10">
        <f>VLOOKUP(H10,'Informe 2025'!$C$6:$M$166,11,FALSE)</f>
        <v>2</v>
      </c>
    </row>
    <row r="11" spans="1:9" x14ac:dyDescent="0.25">
      <c r="A11" s="2">
        <v>2</v>
      </c>
      <c r="B11" t="str">
        <f>VLOOKUP(A11,'Informe 2025'!$1:$1048576,2,FALSE)</f>
        <v>MARZO</v>
      </c>
      <c r="C11" s="25" t="s">
        <v>267</v>
      </c>
      <c r="D11" s="20" t="str">
        <f>VLOOKUP(C11,ID!$1:$1048576,4,FALSE)</f>
        <v>103457</v>
      </c>
      <c r="E11" s="20" t="str">
        <f>VLOOKUP(C11,ID!$1:$1048576,3,FALSE)</f>
        <v xml:space="preserve"> MARCELO ORLANDO</v>
      </c>
      <c r="F11" s="20" t="str">
        <f>VLOOKUP(C11,ID!$1:$1048576,2,FALSE)</f>
        <v>ARELLANO TARQUI</v>
      </c>
      <c r="G11" s="2" t="str">
        <f>VLOOKUP(D11,CORREOS!$A$2:$B$570,2,FALSE)</f>
        <v>MARELLANO@ANTAYHOTELES.CL</v>
      </c>
      <c r="H11" s="24" t="str">
        <f>VLOOKUP(A11,'Informe 2025'!$A$5:$C$164,3,FALSE)</f>
        <v>Secuencia de servicio</v>
      </c>
      <c r="I11">
        <f>VLOOKUP(H11,'Informe 2025'!$C$6:$M$166,11,FALSE)</f>
        <v>2</v>
      </c>
    </row>
    <row r="12" spans="1:9" x14ac:dyDescent="0.25">
      <c r="A12" s="2">
        <v>3</v>
      </c>
      <c r="B12" t="str">
        <f>VLOOKUP(A12,'Informe 2025'!$1:$1048576,2,FALSE)</f>
        <v>MARZO</v>
      </c>
      <c r="C12" s="25" t="s">
        <v>1632</v>
      </c>
      <c r="D12" s="20" t="str">
        <f>VLOOKUP(C12,ID!$1:$1048576,4,FALSE)</f>
        <v>103252</v>
      </c>
      <c r="E12" s="20" t="str">
        <f>VLOOKUP(C12,ID!$1:$1048576,3,FALSE)</f>
        <v xml:space="preserve"> DIEGO ADRIAN</v>
      </c>
      <c r="F12" s="20" t="str">
        <f>VLOOKUP(C12,ID!$1:$1048576,2,FALSE)</f>
        <v>BARREAU FLORES</v>
      </c>
      <c r="G12" s="2" t="str">
        <f>VLOOKUP(D12,CORREOS!$A$2:$B$570,2,FALSE)</f>
        <v>DBARREAU@antayhoteles.cl</v>
      </c>
      <c r="H12" s="24" t="str">
        <f>VLOOKUP(A12,'Informe 2025'!$A$5:$C$164,3,FALSE)</f>
        <v>Introducción al mundo del vino</v>
      </c>
      <c r="I12">
        <f>VLOOKUP(H12,'Informe 2025'!$C$6:$M$166,11,FALSE)</f>
        <v>2</v>
      </c>
    </row>
    <row r="13" spans="1:9" x14ac:dyDescent="0.25">
      <c r="A13" s="2">
        <v>3</v>
      </c>
      <c r="B13" t="str">
        <f>VLOOKUP(A13,'Informe 2025'!$1:$1048576,2,FALSE)</f>
        <v>MARZO</v>
      </c>
      <c r="C13" s="25" t="s">
        <v>1648</v>
      </c>
      <c r="D13" s="20" t="str">
        <f>VLOOKUP(C13,ID!$1:$1048576,4,FALSE)</f>
        <v>103965</v>
      </c>
      <c r="E13" s="20" t="str">
        <f>VLOOKUP(C13,ID!$1:$1048576,3,FALSE)</f>
        <v xml:space="preserve"> YIRLEY YURANI</v>
      </c>
      <c r="F13" s="20" t="str">
        <f>VLOOKUP(C13,ID!$1:$1048576,2,FALSE)</f>
        <v>HURTADO PRADO</v>
      </c>
      <c r="G13" s="2" t="str">
        <f>VLOOKUP(D13,CORREOS!$A$2:$B$570,2,FALSE)</f>
        <v>YJHIDALGO@antayhoteles.cl</v>
      </c>
      <c r="H13" s="24" t="str">
        <f>VLOOKUP(A13,'Informe 2025'!$A$5:$C$164,3,FALSE)</f>
        <v>Introducción al mundo del vino</v>
      </c>
      <c r="I13">
        <f>VLOOKUP(H13,'Informe 2025'!$C$6:$M$166,11,FALSE)</f>
        <v>2</v>
      </c>
    </row>
    <row r="14" spans="1:9" x14ac:dyDescent="0.25">
      <c r="A14" s="2">
        <v>3</v>
      </c>
      <c r="B14" t="str">
        <f>VLOOKUP(A14,'Informe 2025'!$1:$1048576,2,FALSE)</f>
        <v>MARZO</v>
      </c>
      <c r="C14" s="25" t="s">
        <v>390</v>
      </c>
      <c r="D14" s="20" t="str">
        <f>VLOOKUP(C14,ID!$1:$1048576,4,FALSE)</f>
        <v>102642</v>
      </c>
      <c r="E14" s="20" t="str">
        <f>VLOOKUP(C14,ID!$1:$1048576,3,FALSE)</f>
        <v xml:space="preserve"> JOSE LUIS</v>
      </c>
      <c r="F14" s="20" t="str">
        <f>VLOOKUP(C14,ID!$1:$1048576,2,FALSE)</f>
        <v>JIMENEZ VILLALOBOS</v>
      </c>
      <c r="G14" s="2" t="str">
        <f>VLOOKUP(D14,CORREOS!$A$2:$B$570,2,FALSE)</f>
        <v>JJVILLALOBOS@ANTAYHOTELES.CL</v>
      </c>
      <c r="H14" s="24" t="str">
        <f>VLOOKUP(A14,'Informe 2025'!$A$5:$C$164,3,FALSE)</f>
        <v>Introducción al mundo del vino</v>
      </c>
      <c r="I14">
        <f>VLOOKUP(H14,'Informe 2025'!$C$6:$M$166,11,FALSE)</f>
        <v>2</v>
      </c>
    </row>
    <row r="15" spans="1:9" x14ac:dyDescent="0.25">
      <c r="A15" s="2">
        <v>3</v>
      </c>
      <c r="B15" t="str">
        <f>VLOOKUP(A15,'Informe 2025'!$1:$1048576,2,FALSE)</f>
        <v>MARZO</v>
      </c>
      <c r="C15" s="25" t="s">
        <v>364</v>
      </c>
      <c r="D15" s="20" t="str">
        <f>VLOOKUP(C15,ID!$1:$1048576,4,FALSE)</f>
        <v>102982</v>
      </c>
      <c r="E15" s="20" t="str">
        <f>VLOOKUP(C15,ID!$1:$1048576,3,FALSE)</f>
        <v xml:space="preserve"> CELINA</v>
      </c>
      <c r="F15" s="20" t="str">
        <f>VLOOKUP(C15,ID!$1:$1048576,2,FALSE)</f>
        <v>GOMEZ OJEDA</v>
      </c>
      <c r="G15" s="2" t="str">
        <f>VLOOKUP(D15,CORREOS!$A$2:$B$570,2,FALSE)</f>
        <v>CGOJEDA@ANTAYHOTELES.CL</v>
      </c>
      <c r="H15" s="24" t="str">
        <f>VLOOKUP(A15,'Informe 2025'!$A$5:$C$164,3,FALSE)</f>
        <v>Introducción al mundo del vino</v>
      </c>
      <c r="I15">
        <f>VLOOKUP(H15,'Informe 2025'!$C$6:$M$166,11,FALSE)</f>
        <v>2</v>
      </c>
    </row>
    <row r="16" spans="1:9" x14ac:dyDescent="0.25">
      <c r="A16" s="2">
        <v>3</v>
      </c>
      <c r="B16" t="str">
        <f>VLOOKUP(A16,'Informe 2025'!$1:$1048576,2,FALSE)</f>
        <v>MARZO</v>
      </c>
      <c r="C16" s="25" t="s">
        <v>267</v>
      </c>
      <c r="D16" s="20" t="str">
        <f>VLOOKUP(C16,ID!$1:$1048576,4,FALSE)</f>
        <v>103457</v>
      </c>
      <c r="E16" s="20" t="str">
        <f>VLOOKUP(C16,ID!$1:$1048576,3,FALSE)</f>
        <v xml:space="preserve"> MARCELO ORLANDO</v>
      </c>
      <c r="F16" s="20" t="str">
        <f>VLOOKUP(C16,ID!$1:$1048576,2,FALSE)</f>
        <v>ARELLANO TARQUI</v>
      </c>
      <c r="G16" s="2" t="str">
        <f>VLOOKUP(D16,CORREOS!$A$2:$B$570,2,FALSE)</f>
        <v>MARELLANO@ANTAYHOTELES.CL</v>
      </c>
      <c r="H16" s="24" t="str">
        <f>VLOOKUP(A16,'Informe 2025'!$A$5:$C$164,3,FALSE)</f>
        <v>Introducción al mundo del vino</v>
      </c>
      <c r="I16">
        <f>VLOOKUP(H16,'Informe 2025'!$C$6:$M$166,11,FALSE)</f>
        <v>2</v>
      </c>
    </row>
    <row r="17" spans="1:9" x14ac:dyDescent="0.25">
      <c r="A17" s="2">
        <v>4</v>
      </c>
      <c r="B17" t="str">
        <f>VLOOKUP(A17,'Informe 2025'!$1:$1048576,2,FALSE)</f>
        <v>MARZO</v>
      </c>
      <c r="C17" s="26" t="s">
        <v>349</v>
      </c>
      <c r="D17" s="20" t="str">
        <f>VLOOKUP(C17,ID!$1:$1048576,4,FALSE)</f>
        <v>101666</v>
      </c>
      <c r="E17" s="20" t="str">
        <f>VLOOKUP(C17,ID!$1:$1048576,3,FALSE)</f>
        <v xml:space="preserve"> VAITIARE FERNANDA</v>
      </c>
      <c r="F17" s="20" t="str">
        <f>VLOOKUP(C17,ID!$1:$1048576,2,FALSE)</f>
        <v>FUENTES BORQUEZ</v>
      </c>
      <c r="G17" s="2" t="str">
        <f>VLOOKUP(D17,CORREOS!$A$2:$B$570,2,FALSE)</f>
        <v>VAITIAREFERNANDA.FUENTES@CL.LUCKIA.COM</v>
      </c>
      <c r="H17" s="24" t="str">
        <f>VLOOKUP(A17,'Informe 2025'!$A$5:$C$164,3,FALSE)</f>
        <v>Procedimiento Stock de cigarros</v>
      </c>
      <c r="I17">
        <f>VLOOKUP(H17,'Informe 2025'!$C$6:$M$166,11,FALSE)</f>
        <v>0.5</v>
      </c>
    </row>
    <row r="18" spans="1:9" x14ac:dyDescent="0.25">
      <c r="A18" s="2">
        <v>4</v>
      </c>
      <c r="B18" t="str">
        <f>VLOOKUP(A18,'Informe 2025'!$1:$1048576,2,FALSE)</f>
        <v>MARZO</v>
      </c>
      <c r="C18" s="25" t="s">
        <v>398</v>
      </c>
      <c r="D18" s="20" t="str">
        <f>VLOOKUP(C18,ID!$1:$1048576,4,FALSE)</f>
        <v>101664</v>
      </c>
      <c r="E18" s="20" t="str">
        <f>VLOOKUP(C18,ID!$1:$1048576,3,FALSE)</f>
        <v xml:space="preserve"> EVELYN DENISSE</v>
      </c>
      <c r="F18" s="20" t="str">
        <f>VLOOKUP(C18,ID!$1:$1048576,2,FALSE)</f>
        <v>LOPEZ LORCA</v>
      </c>
      <c r="G18" s="2" t="str">
        <f>VLOOKUP(D18,CORREOS!$A$2:$B$570,2,FALSE)</f>
        <v>EVELYNDENISSE.LOPEZ@ANTAYHOTELES.CL</v>
      </c>
      <c r="H18" s="24" t="str">
        <f>VLOOKUP(A18,'Informe 2025'!$A$5:$C$164,3,FALSE)</f>
        <v>Procedimiento Stock de cigarros</v>
      </c>
      <c r="I18">
        <f>VLOOKUP(H18,'Informe 2025'!$C$6:$M$166,11,FALSE)</f>
        <v>0.5</v>
      </c>
    </row>
    <row r="19" spans="1:9" x14ac:dyDescent="0.25">
      <c r="A19" s="2">
        <v>4</v>
      </c>
      <c r="B19" t="str">
        <f>VLOOKUP(A19,'Informe 2025'!$1:$1048576,2,FALSE)</f>
        <v>MARZO</v>
      </c>
      <c r="C19" s="25" t="s">
        <v>289</v>
      </c>
      <c r="D19" s="20" t="str">
        <f>VLOOKUP(C19,ID!$1:$1048576,4,FALSE)</f>
        <v>101866</v>
      </c>
      <c r="E19" s="20" t="str">
        <f>VLOOKUP(C19,ID!$1:$1048576,3,FALSE)</f>
        <v xml:space="preserve"> MELANIE EUGENIA</v>
      </c>
      <c r="F19" s="20" t="str">
        <f>VLOOKUP(C19,ID!$1:$1048576,2,FALSE)</f>
        <v>CARMONA JAIME</v>
      </c>
      <c r="G19" s="2" t="str">
        <f>VLOOKUP(D19,CORREOS!$A$2:$B$570,2,FALSE)</f>
        <v>MCJAIME@ANTAYHOTELES.CL</v>
      </c>
      <c r="H19" s="24" t="str">
        <f>VLOOKUP(A19,'Informe 2025'!$A$5:$C$164,3,FALSE)</f>
        <v>Procedimiento Stock de cigarros</v>
      </c>
      <c r="I19">
        <f>VLOOKUP(H19,'Informe 2025'!$C$6:$M$166,11,FALSE)</f>
        <v>0.5</v>
      </c>
    </row>
    <row r="20" spans="1:9" x14ac:dyDescent="0.25">
      <c r="A20" s="2">
        <v>4</v>
      </c>
      <c r="B20" t="str">
        <f>VLOOKUP(A20,'Informe 2025'!$1:$1048576,2,FALSE)</f>
        <v>MARZO</v>
      </c>
      <c r="C20" s="25" t="s">
        <v>269</v>
      </c>
      <c r="D20" s="20" t="str">
        <f>VLOOKUP(C20,ID!$1:$1048576,4,FALSE)</f>
        <v>101662</v>
      </c>
      <c r="E20" s="20" t="str">
        <f>VLOOKUP(C20,ID!$1:$1048576,3,FALSE)</f>
        <v xml:space="preserve"> CAROLINA ANDREA</v>
      </c>
      <c r="F20" s="20" t="str">
        <f>VLOOKUP(C20,ID!$1:$1048576,2,FALSE)</f>
        <v>ARIAS AEDO</v>
      </c>
      <c r="G20" s="2" t="str">
        <f>VLOOKUP(D20,CORREOS!$A$2:$B$570,2,FALSE)</f>
        <v>CAROLINAANDREA.ARIAS@ANTAYHOTELES.CL</v>
      </c>
      <c r="H20" s="24" t="str">
        <f>VLOOKUP(A20,'Informe 2025'!$A$5:$C$164,3,FALSE)</f>
        <v>Procedimiento Stock de cigarros</v>
      </c>
      <c r="I20">
        <f>VLOOKUP(H20,'Informe 2025'!$C$6:$M$166,11,FALSE)</f>
        <v>0.5</v>
      </c>
    </row>
    <row r="21" spans="1:9" x14ac:dyDescent="0.25">
      <c r="A21" s="2">
        <v>4</v>
      </c>
      <c r="B21" t="str">
        <f>VLOOKUP(A21,'Informe 2025'!$1:$1048576,2,FALSE)</f>
        <v>MARZO</v>
      </c>
      <c r="C21" s="25" t="s">
        <v>259</v>
      </c>
      <c r="D21" s="20" t="str">
        <f>VLOOKUP(C21,ID!$1:$1048576,4,FALSE)</f>
        <v>101768</v>
      </c>
      <c r="E21" s="20" t="str">
        <f>VLOOKUP(C21,ID!$1:$1048576,3,FALSE)</f>
        <v xml:space="preserve"> GONZALO EDUARDO</v>
      </c>
      <c r="F21" s="20" t="str">
        <f>VLOOKUP(C21,ID!$1:$1048576,2,FALSE)</f>
        <v>ANTEZANA POBLETE</v>
      </c>
      <c r="G21" s="2" t="str">
        <f>VLOOKUP(D21,CORREOS!$A$2:$B$570,2,FALSE)</f>
        <v>GANTEZANA@ANTAYHOTELES.CL</v>
      </c>
      <c r="H21" s="24" t="str">
        <f>VLOOKUP(A21,'Informe 2025'!$A$5:$C$164,3,FALSE)</f>
        <v>Procedimiento Stock de cigarros</v>
      </c>
      <c r="I21">
        <f>VLOOKUP(H21,'Informe 2025'!$C$6:$M$166,11,FALSE)</f>
        <v>0.5</v>
      </c>
    </row>
    <row r="22" spans="1:9" x14ac:dyDescent="0.25">
      <c r="A22" s="2">
        <v>4</v>
      </c>
      <c r="B22" t="str">
        <f>VLOOKUP(A22,'Informe 2025'!$1:$1048576,2,FALSE)</f>
        <v>MARZO</v>
      </c>
      <c r="C22" s="25" t="s">
        <v>507</v>
      </c>
      <c r="D22" s="20" t="str">
        <f>VLOOKUP(C22,ID!$1:$1048576,4,FALSE)</f>
        <v>101892</v>
      </c>
      <c r="E22" s="20" t="str">
        <f>VLOOKUP(C22,ID!$1:$1048576,3,FALSE)</f>
        <v xml:space="preserve"> ALEJANDRO LUIS</v>
      </c>
      <c r="F22" s="20" t="str">
        <f>VLOOKUP(C22,ID!$1:$1048576,2,FALSE)</f>
        <v>SOLIS AGUIRRE</v>
      </c>
      <c r="G22" s="2" t="str">
        <f>VLOOKUP(D22,CORREOS!$A$2:$B$570,2,FALSE)</f>
        <v>ASOLIS@ANTAYHOTELES.CL</v>
      </c>
      <c r="H22" s="24" t="str">
        <f>VLOOKUP(A22,'Informe 2025'!$A$5:$C$164,3,FALSE)</f>
        <v>Procedimiento Stock de cigarros</v>
      </c>
      <c r="I22">
        <f>VLOOKUP(H22,'Informe 2025'!$C$6:$M$166,11,FALSE)</f>
        <v>0.5</v>
      </c>
    </row>
    <row r="23" spans="1:9" x14ac:dyDescent="0.25">
      <c r="A23" s="2">
        <v>5</v>
      </c>
      <c r="B23" t="str">
        <f>VLOOKUP(A23,'Informe 2025'!$1:$1048576,2,FALSE)</f>
        <v>MARZO</v>
      </c>
      <c r="C23" s="25" t="s">
        <v>376</v>
      </c>
      <c r="D23" s="20" t="str">
        <f>VLOOKUP(C23,ID!$1:$1048576,4,FALSE)</f>
        <v>103744</v>
      </c>
      <c r="E23" s="20" t="str">
        <f>VLOOKUP(C23,ID!$1:$1048576,3,FALSE)</f>
        <v xml:space="preserve"> IVAN NICOLAS</v>
      </c>
      <c r="F23" s="20" t="str">
        <f>VLOOKUP(C23,ID!$1:$1048576,2,FALSE)</f>
        <v>GUTIERREZ PIZARRO</v>
      </c>
      <c r="G23" s="2" t="str">
        <f>VLOOKUP(D23,CORREOS!$A$2:$B$570,2,FALSE)</f>
        <v>IGUTIERREZ@ANTAYHOTELES.CL</v>
      </c>
      <c r="H23" s="24" t="str">
        <f>VLOOKUP(A23,'Informe 2025'!$A$5:$C$164,3,FALSE)</f>
        <v>Reinducción indefinidos</v>
      </c>
      <c r="I23">
        <f>VLOOKUP(H23,'Informe 2025'!$C$6:$M$166,11,FALSE)</f>
        <v>2</v>
      </c>
    </row>
    <row r="24" spans="1:9" x14ac:dyDescent="0.25">
      <c r="A24" s="2">
        <v>5</v>
      </c>
      <c r="B24" t="str">
        <f>VLOOKUP(A24,'Informe 2025'!$1:$1048576,2,FALSE)</f>
        <v>MARZO</v>
      </c>
      <c r="C24" s="25" t="s">
        <v>464</v>
      </c>
      <c r="D24" s="20" t="str">
        <f>VLOOKUP(C24,ID!$1:$1048576,4,FALSE)</f>
        <v>103767</v>
      </c>
      <c r="E24" s="20" t="str">
        <f>VLOOKUP(C24,ID!$1:$1048576,3,FALSE)</f>
        <v xml:space="preserve"> GABRIEL IGNACIO</v>
      </c>
      <c r="F24" s="20" t="str">
        <f>VLOOKUP(C24,ID!$1:$1048576,2,FALSE)</f>
        <v>PINTO PERALTA</v>
      </c>
      <c r="G24" s="2" t="str">
        <f>VLOOKUP(D24,CORREOS!$A$2:$B$570,2,FALSE)</f>
        <v>GPINTO@ANTAYHOTELES.CL</v>
      </c>
      <c r="H24" s="24" t="str">
        <f>VLOOKUP(A24,'Informe 2025'!$A$5:$C$164,3,FALSE)</f>
        <v>Reinducción indefinidos</v>
      </c>
      <c r="I24">
        <f>VLOOKUP(H24,'Informe 2025'!$C$6:$M$166,11,FALSE)</f>
        <v>2</v>
      </c>
    </row>
    <row r="25" spans="1:9" x14ac:dyDescent="0.25">
      <c r="A25" s="2">
        <v>5</v>
      </c>
      <c r="B25" t="str">
        <f>VLOOKUP(A25,'Informe 2025'!$1:$1048576,2,FALSE)</f>
        <v>MARZO</v>
      </c>
      <c r="C25" s="25" t="s">
        <v>1646</v>
      </c>
      <c r="D25" s="20" t="str">
        <f>VLOOKUP(C25,ID!$1:$1048576,4,FALSE)</f>
        <v>103795</v>
      </c>
      <c r="E25" s="20" t="str">
        <f>VLOOKUP(C25,ID!$1:$1048576,3,FALSE)</f>
        <v xml:space="preserve"> NICOL GIORELLA</v>
      </c>
      <c r="F25" s="20" t="str">
        <f>VLOOKUP(C25,ID!$1:$1048576,2,FALSE)</f>
        <v>GUAILLA GODOY</v>
      </c>
      <c r="G25" s="2" t="str">
        <f>VLOOKUP(D25,CORREOS!$A$2:$B$570,2,FALSE)</f>
        <v>NGUAILLA@antayhoteles.cl</v>
      </c>
      <c r="H25" s="24" t="str">
        <f>VLOOKUP(A25,'Informe 2025'!$A$5:$C$164,3,FALSE)</f>
        <v>Reinducción indefinidos</v>
      </c>
      <c r="I25">
        <f>VLOOKUP(H25,'Informe 2025'!$C$6:$M$166,11,FALSE)</f>
        <v>2</v>
      </c>
    </row>
    <row r="26" spans="1:9" x14ac:dyDescent="0.25">
      <c r="A26" s="2">
        <v>5</v>
      </c>
      <c r="B26" t="str">
        <f>VLOOKUP(A26,'Informe 2025'!$1:$1048576,2,FALSE)</f>
        <v>MARZO</v>
      </c>
      <c r="C26" s="25" t="s">
        <v>393</v>
      </c>
      <c r="D26" s="20" t="str">
        <f>VLOOKUP(C26,ID!$1:$1048576,4,FALSE)</f>
        <v>103632</v>
      </c>
      <c r="E26" s="20" t="str">
        <f>VLOOKUP(C26,ID!$1:$1048576,3,FALSE)</f>
        <v xml:space="preserve"> EVELYN RUDDY</v>
      </c>
      <c r="F26" s="20" t="str">
        <f>VLOOKUP(C26,ID!$1:$1048576,2,FALSE)</f>
        <v>LAVALLE ROJAS</v>
      </c>
      <c r="G26" s="2" t="str">
        <f>VLOOKUP(D26,CORREOS!$A$2:$B$570,2,FALSE)</f>
        <v>ELAVALLE@ANTAYHOTELES.CL</v>
      </c>
      <c r="H26" s="24" t="str">
        <f>VLOOKUP(A26,'Informe 2025'!$A$5:$C$164,3,FALSE)</f>
        <v>Reinducción indefinidos</v>
      </c>
      <c r="I26">
        <f>VLOOKUP(H26,'Informe 2025'!$C$6:$M$166,11,FALSE)</f>
        <v>2</v>
      </c>
    </row>
    <row r="27" spans="1:9" x14ac:dyDescent="0.25">
      <c r="A27" s="2">
        <v>5</v>
      </c>
      <c r="B27" t="str">
        <f>VLOOKUP(A27,'Informe 2025'!$1:$1048576,2,FALSE)</f>
        <v>MARZO</v>
      </c>
      <c r="C27" s="25" t="s">
        <v>359</v>
      </c>
      <c r="D27" s="20" t="str">
        <f>VLOOKUP(C27,ID!$1:$1048576,4,FALSE)</f>
        <v>103714</v>
      </c>
      <c r="E27" s="20" t="str">
        <f>VLOOKUP(C27,ID!$1:$1048576,3,FALSE)</f>
        <v xml:space="preserve"> RENATO IGNACIO</v>
      </c>
      <c r="F27" s="20" t="str">
        <f>VLOOKUP(C27,ID!$1:$1048576,2,FALSE)</f>
        <v>GODOY BUGUEÑO</v>
      </c>
      <c r="G27" s="2" t="str">
        <f>VLOOKUP(D27,CORREOS!$A$2:$B$570,2,FALSE)</f>
        <v>RGBUGUENO@ANTAYHOTELES.CL</v>
      </c>
      <c r="H27" s="24" t="str">
        <f>VLOOKUP(A27,'Informe 2025'!$A$5:$C$164,3,FALSE)</f>
        <v>Reinducción indefinidos</v>
      </c>
      <c r="I27">
        <f>VLOOKUP(H27,'Informe 2025'!$C$6:$M$166,11,FALSE)</f>
        <v>2</v>
      </c>
    </row>
    <row r="28" spans="1:9" x14ac:dyDescent="0.25">
      <c r="A28" s="2">
        <v>5</v>
      </c>
      <c r="B28" t="str">
        <f>VLOOKUP(A28,'Informe 2025'!$1:$1048576,2,FALSE)</f>
        <v>MARZO</v>
      </c>
      <c r="C28" s="25" t="s">
        <v>1624</v>
      </c>
      <c r="D28" s="20" t="str">
        <f>VLOOKUP(C28,ID!$1:$1048576,4,FALSE)</f>
        <v>103845</v>
      </c>
      <c r="E28" s="20" t="str">
        <f>VLOOKUP(C28,ID!$1:$1048576,3,FALSE)</f>
        <v xml:space="preserve"> FRANCISCO JAVIER</v>
      </c>
      <c r="F28" s="20" t="str">
        <f>VLOOKUP(C28,ID!$1:$1048576,2,FALSE)</f>
        <v>ALLENDES VEGA</v>
      </c>
      <c r="G28" s="2" t="str">
        <f>VLOOKUP(D28,CORREOS!$A$2:$B$570,2,FALSE)</f>
        <v>FALLENDES@antayhoteles.cl</v>
      </c>
      <c r="H28" s="24" t="str">
        <f>VLOOKUP(A28,'Informe 2025'!$A$5:$C$164,3,FALSE)</f>
        <v>Reinducción indefinidos</v>
      </c>
      <c r="I28">
        <f>VLOOKUP(H28,'Informe 2025'!$C$6:$M$166,11,FALSE)</f>
        <v>2</v>
      </c>
    </row>
    <row r="29" spans="1:9" x14ac:dyDescent="0.25">
      <c r="A29" s="2">
        <v>5</v>
      </c>
      <c r="B29" t="str">
        <f>VLOOKUP(A29,'Informe 2025'!$1:$1048576,2,FALSE)</f>
        <v>MARZO</v>
      </c>
      <c r="C29" s="25" t="s">
        <v>1630</v>
      </c>
      <c r="D29" s="20" t="str">
        <f>VLOOKUP(C29,ID!$1:$1048576,4,FALSE)</f>
        <v>103871</v>
      </c>
      <c r="E29" s="20" t="str">
        <f>VLOOKUP(C29,ID!$1:$1048576,3,FALSE)</f>
        <v xml:space="preserve"> MAURICIO ANTONIO</v>
      </c>
      <c r="F29" s="20" t="str">
        <f>VLOOKUP(C29,ID!$1:$1048576,2,FALSE)</f>
        <v>AVENDAÑO ARANCIBIA</v>
      </c>
      <c r="G29" s="2" t="str">
        <f>VLOOKUP(D29,CORREOS!$A$2:$B$570,2,FALSE)</f>
        <v>MAVENDANO@antayhoteles.cl</v>
      </c>
      <c r="H29" s="24" t="str">
        <f>VLOOKUP(A29,'Informe 2025'!$A$5:$C$164,3,FALSE)</f>
        <v>Reinducción indefinidos</v>
      </c>
      <c r="I29">
        <f>VLOOKUP(H29,'Informe 2025'!$C$6:$M$166,11,FALSE)</f>
        <v>2</v>
      </c>
    </row>
    <row r="30" spans="1:9" x14ac:dyDescent="0.25">
      <c r="A30" s="2">
        <v>5</v>
      </c>
      <c r="B30" t="str">
        <f>VLOOKUP(A30,'Informe 2025'!$1:$1048576,2,FALSE)</f>
        <v>MARZO</v>
      </c>
      <c r="C30" s="25" t="s">
        <v>1623</v>
      </c>
      <c r="D30" s="20" t="str">
        <f>VLOOKUP(C30,ID!$1:$1048576,4,FALSE)</f>
        <v>103814</v>
      </c>
      <c r="E30" s="20" t="str">
        <f>VLOOKUP(C30,ID!$1:$1048576,3,FALSE)</f>
        <v xml:space="preserve"> ROBERTO CARLOS</v>
      </c>
      <c r="F30" s="20" t="str">
        <f>VLOOKUP(C30,ID!$1:$1048576,2,FALSE)</f>
        <v>ALDUNATE MEDINA</v>
      </c>
      <c r="G30" s="2" t="str">
        <f>VLOOKUP(D30,CORREOS!$A$2:$B$570,2,FALSE)</f>
        <v xml:space="preserve"> ROBERTO CARLOS</v>
      </c>
      <c r="H30" s="24" t="str">
        <f>VLOOKUP(A30,'Informe 2025'!$A$5:$C$164,3,FALSE)</f>
        <v>Reinducción indefinidos</v>
      </c>
      <c r="I30">
        <f>VLOOKUP(H30,'Informe 2025'!$C$6:$M$166,11,FALSE)</f>
        <v>2</v>
      </c>
    </row>
    <row r="31" spans="1:9" x14ac:dyDescent="0.25">
      <c r="A31" s="2">
        <v>5</v>
      </c>
      <c r="B31" t="str">
        <f>VLOOKUP(A31,'Informe 2025'!$1:$1048576,2,FALSE)</f>
        <v>MARZO</v>
      </c>
      <c r="C31" s="25" t="s">
        <v>1809</v>
      </c>
      <c r="D31" s="20" t="str">
        <f>VLOOKUP(C31,ID!$1:$1048576,4,FALSE)</f>
        <v>103810</v>
      </c>
      <c r="E31" s="20" t="str">
        <f>VLOOKUP(C31,ID!$1:$1048576,3,FALSE)</f>
        <v xml:space="preserve"> ARANZA ALEJANDRA</v>
      </c>
      <c r="F31" s="20" t="str">
        <f>VLOOKUP(C31,ID!$1:$1048576,2,FALSE)</f>
        <v>CASTILLO VARAS</v>
      </c>
      <c r="G31" s="2" t="str">
        <f>VLOOKUP(D31,CORREOS!$A$2:$B$570,2,FALSE)</f>
        <v xml:space="preserve"> ARANZA ALEJANDRA</v>
      </c>
      <c r="H31" s="24" t="str">
        <f>VLOOKUP(A31,'Informe 2025'!$A$5:$C$164,3,FALSE)</f>
        <v>Reinducción indefinidos</v>
      </c>
      <c r="I31">
        <f>VLOOKUP(H31,'Informe 2025'!$C$6:$M$166,11,FALSE)</f>
        <v>2</v>
      </c>
    </row>
    <row r="32" spans="1:9" x14ac:dyDescent="0.25">
      <c r="A32" s="2">
        <v>5</v>
      </c>
      <c r="B32" t="str">
        <f>VLOOKUP(A32,'Informe 2025'!$1:$1048576,2,FALSE)</f>
        <v>MARZO</v>
      </c>
      <c r="C32" s="25" t="s">
        <v>1627</v>
      </c>
      <c r="D32" s="20" t="str">
        <f>VLOOKUP(C32,ID!$1:$1048576,4,FALSE)</f>
        <v>103792</v>
      </c>
      <c r="E32" s="20" t="str">
        <f>VLOOKUP(C32,ID!$1:$1048576,3,FALSE)</f>
        <v xml:space="preserve"> FERNANDA IGNACIA</v>
      </c>
      <c r="F32" s="20" t="str">
        <f>VLOOKUP(C32,ID!$1:$1048576,2,FALSE)</f>
        <v>ARAYA LORCA</v>
      </c>
      <c r="G32" s="2" t="str">
        <f>VLOOKUP(D32,CORREOS!$A$2:$B$570,2,FALSE)</f>
        <v>FALORCA@cl.luckia.com</v>
      </c>
      <c r="H32" s="24" t="str">
        <f>VLOOKUP(A32,'Informe 2025'!$A$5:$C$164,3,FALSE)</f>
        <v>Reinducción indefinidos</v>
      </c>
      <c r="I32">
        <f>VLOOKUP(H32,'Informe 2025'!$C$6:$M$166,11,FALSE)</f>
        <v>2</v>
      </c>
    </row>
    <row r="33" spans="1:9" x14ac:dyDescent="0.25">
      <c r="A33" s="2">
        <v>5</v>
      </c>
      <c r="B33" t="str">
        <f>VLOOKUP(A33,'Informe 2025'!$1:$1048576,2,FALSE)</f>
        <v>MARZO</v>
      </c>
      <c r="C33" s="25" t="s">
        <v>527</v>
      </c>
      <c r="D33" s="20" t="str">
        <f>VLOOKUP(C33,ID!$1:$1048576,4,FALSE)</f>
        <v>103766</v>
      </c>
      <c r="E33" s="20" t="str">
        <f>VLOOKUP(C33,ID!$1:$1048576,3,FALSE)</f>
        <v xml:space="preserve"> BASTIAN ADRIAN</v>
      </c>
      <c r="F33" s="20" t="str">
        <f>VLOOKUP(C33,ID!$1:$1048576,2,FALSE)</f>
        <v>VERA CALDERON</v>
      </c>
      <c r="G33" s="2" t="str">
        <f>VLOOKUP(D33,CORREOS!$A$2:$B$570,2,FALSE)</f>
        <v>BVERA@CL.LUCKIA.COM</v>
      </c>
      <c r="H33" s="24" t="str">
        <f>VLOOKUP(A33,'Informe 2025'!$A$5:$C$164,3,FALSE)</f>
        <v>Reinducción indefinidos</v>
      </c>
      <c r="I33">
        <f>VLOOKUP(H33,'Informe 2025'!$C$6:$M$166,11,FALSE)</f>
        <v>2</v>
      </c>
    </row>
    <row r="34" spans="1:9" x14ac:dyDescent="0.25">
      <c r="A34" s="2">
        <v>6</v>
      </c>
      <c r="B34" t="str">
        <f>VLOOKUP(A34,'Informe 2025'!$1:$1048576,2,FALSE)</f>
        <v>MARZO</v>
      </c>
      <c r="C34" s="25" t="s">
        <v>452</v>
      </c>
      <c r="D34" s="20" t="str">
        <f>VLOOKUP(C34,ID!$1:$1048576,4,FALSE)</f>
        <v>101886</v>
      </c>
      <c r="E34" s="20" t="str">
        <f>VLOOKUP(C34,ID!$1:$1048576,3,FALSE)</f>
        <v xml:space="preserve"> FERNANDO IVAN</v>
      </c>
      <c r="F34" s="20" t="str">
        <f>VLOOKUP(C34,ID!$1:$1048576,2,FALSE)</f>
        <v>PALMA QUIMPER</v>
      </c>
      <c r="G34" s="2" t="str">
        <f>VLOOKUP(D34,CORREOS!$A$2:$B$570,2,FALSE)</f>
        <v>FPALMA@CL.LUCKIA.COM</v>
      </c>
      <c r="H34" s="24" t="str">
        <f>VLOOKUP(A34,'Informe 2025'!$A$5:$C$164,3,FALSE)</f>
        <v>Curso excel básico</v>
      </c>
      <c r="I34">
        <f>VLOOKUP(H34,'Informe 2025'!$C$6:$M$166,11,FALSE)</f>
        <v>5</v>
      </c>
    </row>
    <row r="35" spans="1:9" x14ac:dyDescent="0.25">
      <c r="A35" s="2">
        <v>6</v>
      </c>
      <c r="B35" t="str">
        <f>VLOOKUP(A35,'Informe 2025'!$1:$1048576,2,FALSE)</f>
        <v>MARZO</v>
      </c>
      <c r="C35" s="25" t="s">
        <v>303</v>
      </c>
      <c r="D35" s="20" t="str">
        <f>VLOOKUP(C35,ID!$1:$1048576,4,FALSE)</f>
        <v>102829</v>
      </c>
      <c r="E35" s="20" t="str">
        <f>VLOOKUP(C35,ID!$1:$1048576,3,FALSE)</f>
        <v xml:space="preserve"> WILSON DENNIS</v>
      </c>
      <c r="F35" s="20" t="str">
        <f>VLOOKUP(C35,ID!$1:$1048576,2,FALSE)</f>
        <v>CASTILLO PEREZ</v>
      </c>
      <c r="G35" s="2" t="str">
        <f>VLOOKUP(D35,CORREOS!$A$2:$B$570,2,FALSE)</f>
        <v>WCASTILLO@CL.LUCKIA.COM</v>
      </c>
      <c r="H35" s="24" t="str">
        <f>VLOOKUP(A35,'Informe 2025'!$A$5:$C$164,3,FALSE)</f>
        <v>Curso excel básico</v>
      </c>
      <c r="I35">
        <f>VLOOKUP(H35,'Informe 2025'!$C$6:$M$166,11,FALSE)</f>
        <v>5</v>
      </c>
    </row>
    <row r="36" spans="1:9" x14ac:dyDescent="0.25">
      <c r="A36" s="2">
        <v>6</v>
      </c>
      <c r="B36" t="str">
        <f>VLOOKUP(A36,'Informe 2025'!$1:$1048576,2,FALSE)</f>
        <v>MARZO</v>
      </c>
      <c r="C36" s="25" t="s">
        <v>350</v>
      </c>
      <c r="D36" s="20" t="str">
        <f>VLOOKUP(C36,ID!$1:$1048576,4,FALSE)</f>
        <v>102734</v>
      </c>
      <c r="E36" s="20" t="str">
        <f>VLOOKUP(C36,ID!$1:$1048576,3,FALSE)</f>
        <v xml:space="preserve"> JOSE EDUARDO</v>
      </c>
      <c r="F36" s="20" t="str">
        <f>VLOOKUP(C36,ID!$1:$1048576,2,FALSE)</f>
        <v>FUNEZ SEPULVEDA</v>
      </c>
      <c r="G36" s="2" t="str">
        <f>VLOOKUP(D36,CORREOS!$A$2:$B$570,2,FALSE)</f>
        <v>JFUNEZ@CL.LUCKIA.COM</v>
      </c>
      <c r="H36" s="24" t="str">
        <f>VLOOKUP(A36,'Informe 2025'!$A$5:$C$164,3,FALSE)</f>
        <v>Curso excel básico</v>
      </c>
      <c r="I36">
        <f>VLOOKUP(H36,'Informe 2025'!$C$6:$M$166,11,FALSE)</f>
        <v>5</v>
      </c>
    </row>
    <row r="37" spans="1:9" x14ac:dyDescent="0.25">
      <c r="A37" s="2">
        <v>6</v>
      </c>
      <c r="B37" t="str">
        <f>VLOOKUP(A37,'Informe 2025'!$1:$1048576,2,FALSE)</f>
        <v>MARZO</v>
      </c>
      <c r="C37" s="25" t="s">
        <v>268</v>
      </c>
      <c r="D37" s="20" t="str">
        <f>VLOOKUP(C37,ID!$1:$1048576,4,FALSE)</f>
        <v>101397</v>
      </c>
      <c r="E37" s="20" t="str">
        <f>VLOOKUP(C37,ID!$1:$1048576,3,FALSE)</f>
        <v xml:space="preserve"> PAULA GISELLE</v>
      </c>
      <c r="F37" s="20" t="str">
        <f>VLOOKUP(C37,ID!$1:$1048576,2,FALSE)</f>
        <v>ARELLANO VALENCIA</v>
      </c>
      <c r="G37" s="2" t="str">
        <f>VLOOKUP(D37,CORREOS!$A$2:$B$570,2,FALSE)</f>
        <v>PAULAGISELLE.ARELLANO@CL.LUCKIA.COM</v>
      </c>
      <c r="H37" s="24" t="str">
        <f>VLOOKUP(A37,'Informe 2025'!$A$5:$C$164,3,FALSE)</f>
        <v>Curso excel básico</v>
      </c>
      <c r="I37">
        <f>VLOOKUP(H37,'Informe 2025'!$C$6:$M$166,11,FALSE)</f>
        <v>5</v>
      </c>
    </row>
    <row r="38" spans="1:9" x14ac:dyDescent="0.25">
      <c r="A38" s="2">
        <v>6</v>
      </c>
      <c r="B38" t="str">
        <f>VLOOKUP(A38,'Informe 2025'!$1:$1048576,2,FALSE)</f>
        <v>MARZO</v>
      </c>
      <c r="C38" s="25" t="s">
        <v>426</v>
      </c>
      <c r="D38" s="20" t="str">
        <f>VLOOKUP(C38,ID!$1:$1048576,4,FALSE)</f>
        <v>101863</v>
      </c>
      <c r="E38" s="20" t="str">
        <f>VLOOKUP(C38,ID!$1:$1048576,3,FALSE)</f>
        <v xml:space="preserve"> ANA MARIA</v>
      </c>
      <c r="F38" s="20" t="str">
        <f>VLOOKUP(C38,ID!$1:$1048576,2,FALSE)</f>
        <v>MONTECINOS SALINAS</v>
      </c>
      <c r="G38" s="2" t="str">
        <f>VLOOKUP(D38,CORREOS!$A$2:$B$570,2,FALSE)</f>
        <v>AMONTECINOS@ANTAYHOTELES.CL</v>
      </c>
      <c r="H38" s="24" t="str">
        <f>VLOOKUP(A38,'Informe 2025'!$A$5:$C$164,3,FALSE)</f>
        <v>Curso excel básico</v>
      </c>
      <c r="I38">
        <f>VLOOKUP(H38,'Informe 2025'!$C$6:$M$166,11,FALSE)</f>
        <v>5</v>
      </c>
    </row>
    <row r="39" spans="1:9" x14ac:dyDescent="0.25">
      <c r="A39" s="2">
        <v>6</v>
      </c>
      <c r="B39" t="str">
        <f>VLOOKUP(A39,'Informe 2025'!$1:$1048576,2,FALSE)</f>
        <v>MARZO</v>
      </c>
      <c r="C39" s="25" t="s">
        <v>305</v>
      </c>
      <c r="D39" s="20" t="str">
        <f>VLOOKUP(C39,ID!$1:$1048576,4,FALSE)</f>
        <v>102746</v>
      </c>
      <c r="E39" s="20" t="str">
        <f>VLOOKUP(C39,ID!$1:$1048576,3,FALSE)</f>
        <v xml:space="preserve"> GONZALO PATRICIO</v>
      </c>
      <c r="F39" s="20" t="str">
        <f>VLOOKUP(C39,ID!$1:$1048576,2,FALSE)</f>
        <v>CASTRO OROSTEGUI</v>
      </c>
      <c r="G39" s="2" t="str">
        <f>VLOOKUP(D39,CORREOS!$A$2:$B$570,2,FALSE)</f>
        <v>GCASTRO@ANTAYHOTELES.CL</v>
      </c>
      <c r="H39" s="24" t="str">
        <f>VLOOKUP(A39,'Informe 2025'!$A$5:$C$164,3,FALSE)</f>
        <v>Curso excel básico</v>
      </c>
      <c r="I39">
        <f>VLOOKUP(H39,'Informe 2025'!$C$6:$M$166,11,FALSE)</f>
        <v>5</v>
      </c>
    </row>
    <row r="40" spans="1:9" x14ac:dyDescent="0.25">
      <c r="A40" s="2">
        <v>6</v>
      </c>
      <c r="B40" t="str">
        <f>VLOOKUP(A40,'Informe 2025'!$1:$1048576,2,FALSE)</f>
        <v>MARZO</v>
      </c>
      <c r="C40" s="25" t="s">
        <v>1810</v>
      </c>
      <c r="D40" s="20" t="str">
        <f>VLOOKUP(C40,ID!$1:$1048576,4,FALSE)</f>
        <v>101425</v>
      </c>
      <c r="E40" s="20" t="str">
        <f>VLOOKUP(C40,ID!$1:$1048576,3,FALSE)</f>
        <v xml:space="preserve"> KAREN PAMELA</v>
      </c>
      <c r="F40" s="20" t="str">
        <f>VLOOKUP(C40,ID!$1:$1048576,2,FALSE)</f>
        <v>SANTANA JUAREZ</v>
      </c>
      <c r="G40" s="2" t="str">
        <f>VLOOKUP(D40,CORREOS!$A$2:$B$570,2,FALSE)</f>
        <v>KARENPAMELA.SANTANA@antayhoteles.cl</v>
      </c>
      <c r="H40" s="24" t="str">
        <f>VLOOKUP(A40,'Informe 2025'!$A$5:$C$164,3,FALSE)</f>
        <v>Curso excel básico</v>
      </c>
      <c r="I40">
        <f>VLOOKUP(H40,'Informe 2025'!$C$6:$M$166,11,FALSE)</f>
        <v>5</v>
      </c>
    </row>
    <row r="41" spans="1:9" x14ac:dyDescent="0.25">
      <c r="A41" s="2">
        <v>6</v>
      </c>
      <c r="B41" t="str">
        <f>VLOOKUP(A41,'Informe 2025'!$1:$1048576,2,FALSE)</f>
        <v>MARZO</v>
      </c>
      <c r="C41" s="25" t="s">
        <v>1811</v>
      </c>
      <c r="D41" s="20" t="str">
        <f>VLOOKUP(C41,ID!$1:$1048576,4,FALSE)</f>
        <v>101664</v>
      </c>
      <c r="E41" s="20" t="str">
        <f>VLOOKUP(C41,ID!$1:$1048576,3,FALSE)</f>
        <v xml:space="preserve"> EVELYN DENISSE</v>
      </c>
      <c r="F41" s="20" t="str">
        <f>VLOOKUP(C41,ID!$1:$1048576,2,FALSE)</f>
        <v>LOPEZ LORCA</v>
      </c>
      <c r="G41" s="2" t="str">
        <f>VLOOKUP(D41,CORREOS!$A$2:$B$570,2,FALSE)</f>
        <v>EVELYNDENISSE.LOPEZ@ANTAYHOTELES.CL</v>
      </c>
      <c r="H41" s="24" t="str">
        <f>VLOOKUP(A41,'Informe 2025'!$A$5:$C$164,3,FALSE)</f>
        <v>Curso excel básico</v>
      </c>
      <c r="I41">
        <f>VLOOKUP(H41,'Informe 2025'!$C$6:$M$166,11,FALSE)</f>
        <v>5</v>
      </c>
    </row>
    <row r="42" spans="1:9" x14ac:dyDescent="0.25">
      <c r="A42" s="2">
        <v>6</v>
      </c>
      <c r="B42" t="str">
        <f>VLOOKUP(A42,'Informe 2025'!$1:$1048576,2,FALSE)</f>
        <v>MARZO</v>
      </c>
      <c r="C42" s="25" t="s">
        <v>511</v>
      </c>
      <c r="D42" s="20" t="str">
        <f>VLOOKUP(C42,ID!$1:$1048576,4,FALSE)</f>
        <v>101536</v>
      </c>
      <c r="E42" s="20" t="str">
        <f>VLOOKUP(C42,ID!$1:$1048576,3,FALSE)</f>
        <v xml:space="preserve"> NICOLAS</v>
      </c>
      <c r="F42" s="20" t="str">
        <f>VLOOKUP(C42,ID!$1:$1048576,2,FALSE)</f>
        <v>TELLO BARREAU</v>
      </c>
      <c r="G42" s="2" t="str">
        <f>VLOOKUP(D42,CORREOS!$A$2:$B$570,2,FALSE)</f>
        <v>NICOLAS.TELLO@ANTAYHOTELES.CL</v>
      </c>
      <c r="H42" s="24" t="str">
        <f>VLOOKUP(A42,'Informe 2025'!$A$5:$C$164,3,FALSE)</f>
        <v>Curso excel básico</v>
      </c>
      <c r="I42">
        <f>VLOOKUP(H42,'Informe 2025'!$C$6:$M$166,11,FALSE)</f>
        <v>5</v>
      </c>
    </row>
    <row r="43" spans="1:9" x14ac:dyDescent="0.25">
      <c r="A43" s="2">
        <v>6</v>
      </c>
      <c r="B43" t="str">
        <f>VLOOKUP(A43,'Informe 2025'!$1:$1048576,2,FALSE)</f>
        <v>MARZO</v>
      </c>
      <c r="C43" s="25" t="s">
        <v>297</v>
      </c>
      <c r="D43" s="20" t="str">
        <f>VLOOKUP(C43,ID!$1:$1048576,4,FALSE)</f>
        <v>101535</v>
      </c>
      <c r="E43" s="20" t="str">
        <f>VLOOKUP(C43,ID!$1:$1048576,3,FALSE)</f>
        <v xml:space="preserve"> BETZABET ALEJANDRA</v>
      </c>
      <c r="F43" s="20" t="str">
        <f>VLOOKUP(C43,ID!$1:$1048576,2,FALSE)</f>
        <v>CARREÑO PIZARRA</v>
      </c>
      <c r="G43" s="2" t="str">
        <f>VLOOKUP(D43,CORREOS!$A$2:$B$570,2,FALSE)</f>
        <v>BETZABETALEJANDRA.CARRENO@ANTAYHOTELES.CL</v>
      </c>
      <c r="H43" s="24" t="str">
        <f>VLOOKUP(A43,'Informe 2025'!$A$5:$C$164,3,FALSE)</f>
        <v>Curso excel básico</v>
      </c>
      <c r="I43">
        <f>VLOOKUP(H43,'Informe 2025'!$C$6:$M$166,11,FALSE)</f>
        <v>5</v>
      </c>
    </row>
    <row r="44" spans="1:9" x14ac:dyDescent="0.25">
      <c r="A44" s="2">
        <v>6</v>
      </c>
      <c r="B44" t="str">
        <f>VLOOKUP(A44,'Informe 2025'!$1:$1048576,2,FALSE)</f>
        <v>MARZO</v>
      </c>
      <c r="C44" s="25" t="s">
        <v>344</v>
      </c>
      <c r="D44" s="20" t="str">
        <f>VLOOKUP(C44,ID!$1:$1048576,4,FALSE)</f>
        <v>102787</v>
      </c>
      <c r="E44" s="20" t="str">
        <f>VLOOKUP(C44,ID!$1:$1048576,3,FALSE)</f>
        <v xml:space="preserve"> KARINA PATRICIA</v>
      </c>
      <c r="F44" s="20" t="str">
        <f>VLOOKUP(C44,ID!$1:$1048576,2,FALSE)</f>
        <v>FLORES MENDOZA</v>
      </c>
      <c r="G44" s="2" t="str">
        <f>VLOOKUP(D44,CORREOS!$A$2:$B$570,2,FALSE)</f>
        <v>KFMENDOZA@ANTAYHOTELES.CL</v>
      </c>
      <c r="H44" s="24" t="str">
        <f>VLOOKUP(A44,'Informe 2025'!$A$5:$C$164,3,FALSE)</f>
        <v>Curso excel básico</v>
      </c>
      <c r="I44">
        <f>VLOOKUP(H44,'Informe 2025'!$C$6:$M$166,11,FALSE)</f>
        <v>5</v>
      </c>
    </row>
    <row r="45" spans="1:9" x14ac:dyDescent="0.25">
      <c r="A45" s="2">
        <v>6</v>
      </c>
      <c r="B45" t="str">
        <f>VLOOKUP(A45,'Informe 2025'!$1:$1048576,2,FALSE)</f>
        <v>MARZO</v>
      </c>
      <c r="C45" s="25" t="s">
        <v>289</v>
      </c>
      <c r="D45" s="20" t="str">
        <f>VLOOKUP(C45,ID!$1:$1048576,4,FALSE)</f>
        <v>101866</v>
      </c>
      <c r="E45" s="20" t="str">
        <f>VLOOKUP(C45,ID!$1:$1048576,3,FALSE)</f>
        <v xml:space="preserve"> MELANIE EUGENIA</v>
      </c>
      <c r="F45" s="20" t="str">
        <f>VLOOKUP(C45,ID!$1:$1048576,2,FALSE)</f>
        <v>CARMONA JAIME</v>
      </c>
      <c r="G45" s="2" t="str">
        <f>VLOOKUP(D45,CORREOS!$A$2:$B$570,2,FALSE)</f>
        <v>MCJAIME@ANTAYHOTELES.CL</v>
      </c>
      <c r="H45" s="24" t="str">
        <f>VLOOKUP(A45,'Informe 2025'!$A$5:$C$164,3,FALSE)</f>
        <v>Curso excel básico</v>
      </c>
      <c r="I45">
        <f>VLOOKUP(H45,'Informe 2025'!$C$6:$M$166,11,FALSE)</f>
        <v>5</v>
      </c>
    </row>
    <row r="46" spans="1:9" x14ac:dyDescent="0.25">
      <c r="A46" s="2">
        <v>6</v>
      </c>
      <c r="B46" t="str">
        <f>VLOOKUP(A46,'Informe 2025'!$1:$1048576,2,FALSE)</f>
        <v>MARZO</v>
      </c>
      <c r="C46" s="25" t="s">
        <v>489</v>
      </c>
      <c r="D46" s="20" t="str">
        <f>VLOOKUP(C46,ID!$1:$1048576,4,FALSE)</f>
        <v>102827</v>
      </c>
      <c r="E46" s="20" t="str">
        <f>VLOOKUP(C46,ID!$1:$1048576,3,FALSE)</f>
        <v xml:space="preserve"> NICOLAS IGNACIO</v>
      </c>
      <c r="F46" s="20" t="str">
        <f>VLOOKUP(C46,ID!$1:$1048576,2,FALSE)</f>
        <v>ROJAS HENRIQUEZ</v>
      </c>
      <c r="G46" s="2" t="str">
        <f>VLOOKUP(D46,CORREOS!$A$2:$B$570,2,FALSE)</f>
        <v>NRHENRIQUEZ@CL.LUCKIA.COM</v>
      </c>
      <c r="H46" s="24" t="str">
        <f>VLOOKUP(A46,'Informe 2025'!$A$5:$C$164,3,FALSE)</f>
        <v>Curso excel básico</v>
      </c>
      <c r="I46">
        <f>VLOOKUP(H46,'Informe 2025'!$C$6:$M$166,11,FALSE)</f>
        <v>5</v>
      </c>
    </row>
    <row r="47" spans="1:9" x14ac:dyDescent="0.25">
      <c r="A47" s="2">
        <v>6</v>
      </c>
      <c r="B47" t="str">
        <f>VLOOKUP(A47,'Informe 2025'!$1:$1048576,2,FALSE)</f>
        <v>MARZO</v>
      </c>
      <c r="C47" s="25" t="s">
        <v>246</v>
      </c>
      <c r="D47" s="20" t="str">
        <f>VLOOKUP(C47,ID!$1:$1048576,4,FALSE)</f>
        <v>102101</v>
      </c>
      <c r="E47" s="20" t="str">
        <f>VLOOKUP(C47,ID!$1:$1048576,3,FALSE)</f>
        <v xml:space="preserve"> GUILLERMO JESUS</v>
      </c>
      <c r="F47" s="20" t="str">
        <f>VLOOKUP(C47,ID!$1:$1048576,2,FALSE)</f>
        <v>ALANIZ MERY</v>
      </c>
      <c r="G47" s="2" t="str">
        <f>VLOOKUP(D47,CORREOS!$A$2:$B$570,2,FALSE)</f>
        <v>GALANIZ@ANTAYHOTELES.CL</v>
      </c>
      <c r="H47" s="24" t="str">
        <f>VLOOKUP(A47,'Informe 2025'!$A$5:$C$164,3,FALSE)</f>
        <v>Curso excel básico</v>
      </c>
      <c r="I47">
        <f>VLOOKUP(H47,'Informe 2025'!$C$6:$M$166,11,FALSE)</f>
        <v>5</v>
      </c>
    </row>
    <row r="48" spans="1:9" x14ac:dyDescent="0.25">
      <c r="A48" s="2">
        <v>6</v>
      </c>
      <c r="B48" t="str">
        <f>VLOOKUP(A48,'Informe 2025'!$1:$1048576,2,FALSE)</f>
        <v>MARZO</v>
      </c>
      <c r="C48" s="25" t="s">
        <v>432</v>
      </c>
      <c r="D48" s="20" t="str">
        <f>VLOOKUP(C48,ID!$1:$1048576,4,FALSE)</f>
        <v>102696</v>
      </c>
      <c r="E48" s="20" t="str">
        <f>VLOOKUP(C48,ID!$1:$1048576,3,FALSE)</f>
        <v xml:space="preserve"> FELIPE</v>
      </c>
      <c r="F48" s="20" t="str">
        <f>VLOOKUP(C48,ID!$1:$1048576,2,FALSE)</f>
        <v>NAHUEL HUENUPI</v>
      </c>
      <c r="G48" s="2" t="str">
        <f>VLOOKUP(D48,CORREOS!$A$2:$B$570,2,FALSE)</f>
        <v>FNAHUEL@ANTAYHOTELES.CL</v>
      </c>
      <c r="H48" s="24" t="str">
        <f>VLOOKUP(A48,'Informe 2025'!$A$5:$C$164,3,FALSE)</f>
        <v>Curso excel básico</v>
      </c>
      <c r="I48">
        <f>VLOOKUP(H48,'Informe 2025'!$C$6:$M$166,11,FALSE)</f>
        <v>5</v>
      </c>
    </row>
    <row r="49" spans="1:9" x14ac:dyDescent="0.25">
      <c r="A49" s="2">
        <v>6</v>
      </c>
      <c r="B49" t="str">
        <f>VLOOKUP(A49,'Informe 2025'!$1:$1048576,2,FALSE)</f>
        <v>MARZO</v>
      </c>
      <c r="C49" s="25" t="s">
        <v>492</v>
      </c>
      <c r="D49" s="20" t="str">
        <f>VLOOKUP(C49,ID!$1:$1048576,4,FALSE)</f>
        <v>102628</v>
      </c>
      <c r="E49" s="20" t="str">
        <f>VLOOKUP(C49,ID!$1:$1048576,3,FALSE)</f>
        <v xml:space="preserve"> MELANIE CHRISTEL</v>
      </c>
      <c r="F49" s="20" t="str">
        <f>VLOOKUP(C49,ID!$1:$1048576,2,FALSE)</f>
        <v>RUIZ VEGA</v>
      </c>
      <c r="G49" s="2" t="str">
        <f>VLOOKUP(D49,CORREOS!$A$2:$B$570,2,FALSE)</f>
        <v>MRVEGA@CL.LUCKIA.COM</v>
      </c>
      <c r="H49" s="24" t="str">
        <f>VLOOKUP(A49,'Informe 2025'!$A$5:$C$164,3,FALSE)</f>
        <v>Curso excel básico</v>
      </c>
      <c r="I49">
        <f>VLOOKUP(H49,'Informe 2025'!$C$6:$M$166,11,FALSE)</f>
        <v>5</v>
      </c>
    </row>
    <row r="50" spans="1:9" x14ac:dyDescent="0.25">
      <c r="A50" s="2">
        <v>6</v>
      </c>
      <c r="B50" t="str">
        <f>VLOOKUP(A50,'Informe 2025'!$1:$1048576,2,FALSE)</f>
        <v>MARZO</v>
      </c>
      <c r="C50" s="25" t="s">
        <v>359</v>
      </c>
      <c r="D50" s="20" t="str">
        <f>VLOOKUP(C50,ID!$1:$1048576,4,FALSE)</f>
        <v>103714</v>
      </c>
      <c r="E50" s="20" t="str">
        <f>VLOOKUP(C50,ID!$1:$1048576,3,FALSE)</f>
        <v xml:space="preserve"> RENATO IGNACIO</v>
      </c>
      <c r="F50" s="20" t="str">
        <f>VLOOKUP(C50,ID!$1:$1048576,2,FALSE)</f>
        <v>GODOY BUGUEÑO</v>
      </c>
      <c r="G50" s="2" t="str">
        <f>VLOOKUP(D50,CORREOS!$A$2:$B$570,2,FALSE)</f>
        <v>RGBUGUENO@ANTAYHOTELES.CL</v>
      </c>
      <c r="H50" s="24" t="str">
        <f>VLOOKUP(A50,'Informe 2025'!$A$5:$C$164,3,FALSE)</f>
        <v>Curso excel básico</v>
      </c>
      <c r="I50">
        <f>VLOOKUP(H50,'Informe 2025'!$C$6:$M$166,11,FALSE)</f>
        <v>5</v>
      </c>
    </row>
    <row r="51" spans="1:9" x14ac:dyDescent="0.25">
      <c r="A51" s="2">
        <v>6</v>
      </c>
      <c r="B51" t="str">
        <f>VLOOKUP(A51,'Informe 2025'!$1:$1048576,2,FALSE)</f>
        <v>MARZO</v>
      </c>
      <c r="C51" s="25" t="s">
        <v>505</v>
      </c>
      <c r="D51" s="20" t="str">
        <f>VLOOKUP(C51,ID!$1:$1048576,4,FALSE)</f>
        <v>101331</v>
      </c>
      <c r="E51" s="20" t="str">
        <f>VLOOKUP(C51,ID!$1:$1048576,3,FALSE)</f>
        <v xml:space="preserve"> CHRISTIAN OLIVER</v>
      </c>
      <c r="F51" s="20" t="str">
        <f>VLOOKUP(C51,ID!$1:$1048576,2,FALSE)</f>
        <v>SILVA CAMPOS</v>
      </c>
      <c r="G51" s="2" t="str">
        <f>VLOOKUP(D51,CORREOS!$A$2:$B$570,2,FALSE)</f>
        <v>CHRISTIANOLIVER.SILVA@CL.LUCKIA.COM</v>
      </c>
      <c r="H51" s="24" t="str">
        <f>VLOOKUP(A51,'Informe 2025'!$A$5:$C$164,3,FALSE)</f>
        <v>Curso excel básico</v>
      </c>
      <c r="I51">
        <f>VLOOKUP(H51,'Informe 2025'!$C$6:$M$166,11,FALSE)</f>
        <v>5</v>
      </c>
    </row>
    <row r="52" spans="1:9" x14ac:dyDescent="0.25">
      <c r="A52" s="2">
        <v>6</v>
      </c>
      <c r="B52" t="str">
        <f>VLOOKUP(A52,'Informe 2025'!$1:$1048576,2,FALSE)</f>
        <v>MARZO</v>
      </c>
      <c r="C52" s="25" t="s">
        <v>350</v>
      </c>
      <c r="D52" s="20" t="str">
        <f>VLOOKUP(C52,ID!$1:$1048576,4,FALSE)</f>
        <v>102734</v>
      </c>
      <c r="E52" s="20" t="str">
        <f>VLOOKUP(C52,ID!$1:$1048576,3,FALSE)</f>
        <v xml:space="preserve"> JOSE EDUARDO</v>
      </c>
      <c r="F52" s="20" t="str">
        <f>VLOOKUP(C52,ID!$1:$1048576,2,FALSE)</f>
        <v>FUNEZ SEPULVEDA</v>
      </c>
      <c r="G52" s="2" t="str">
        <f>VLOOKUP(D52,CORREOS!$A$2:$B$570,2,FALSE)</f>
        <v>JFUNEZ@CL.LUCKIA.COM</v>
      </c>
      <c r="H52" s="24" t="str">
        <f>VLOOKUP(A52,'Informe 2025'!$A$5:$C$164,3,FALSE)</f>
        <v>Curso excel básico</v>
      </c>
      <c r="I52">
        <f>VLOOKUP(H52,'Informe 2025'!$C$6:$M$166,11,FALSE)</f>
        <v>5</v>
      </c>
    </row>
    <row r="53" spans="1:9" x14ac:dyDescent="0.25">
      <c r="A53" s="2">
        <v>7</v>
      </c>
      <c r="B53" t="str">
        <f>VLOOKUP(A53,'Informe 2025'!$1:$1048576,2,FALSE)</f>
        <v>MARZO</v>
      </c>
      <c r="C53" s="25" t="s">
        <v>314</v>
      </c>
      <c r="D53" s="20" t="str">
        <f>VLOOKUP(C53,ID!$1:$1048576,4,FALSE)</f>
        <v>102849</v>
      </c>
      <c r="E53" s="20" t="str">
        <f>VLOOKUP(C53,ID!$1:$1048576,3,FALSE)</f>
        <v xml:space="preserve"> CRISTOBAL HUMBERTO</v>
      </c>
      <c r="F53" s="20" t="str">
        <f>VLOOKUP(C53,ID!$1:$1048576,2,FALSE)</f>
        <v>CONDORI CARVAJAL</v>
      </c>
      <c r="G53" s="2" t="str">
        <f>VLOOKUP(D53,CORREOS!$A$2:$B$570,2,FALSE)</f>
        <v>CCONDORI@ANTAYHOTELES.CL</v>
      </c>
      <c r="H53" s="24" t="str">
        <f>VLOOKUP(A53,'Informe 2025'!$A$5:$C$164,3,FALSE)</f>
        <v>Programa Tutor</v>
      </c>
      <c r="I53">
        <f>VLOOKUP(H53,'Informe 2025'!$C$6:$M$166,11,FALSE)</f>
        <v>2</v>
      </c>
    </row>
    <row r="54" spans="1:9" x14ac:dyDescent="0.25">
      <c r="A54" s="2">
        <v>7</v>
      </c>
      <c r="B54" t="str">
        <f>VLOOKUP(A54,'Informe 2025'!$1:$1048576,2,FALSE)</f>
        <v>MARZO</v>
      </c>
      <c r="C54" s="25" t="s">
        <v>274</v>
      </c>
      <c r="D54" s="20" t="str">
        <f>VLOOKUP(C54,ID!$1:$1048576,4,FALSE)</f>
        <v>103084</v>
      </c>
      <c r="E54" s="20" t="str">
        <f>VLOOKUP(C54,ID!$1:$1048576,3,FALSE)</f>
        <v xml:space="preserve"> BASTIAN ANDRES</v>
      </c>
      <c r="F54" s="20" t="str">
        <f>VLOOKUP(C54,ID!$1:$1048576,2,FALSE)</f>
        <v>ARRIAGADA PALTA</v>
      </c>
      <c r="G54" s="2" t="str">
        <f>VLOOKUP(D54,CORREOS!$A$2:$B$570,2,FALSE)</f>
        <v>BARRIAGADA@ANTAYHOTELES.CL</v>
      </c>
      <c r="H54" s="24" t="str">
        <f>VLOOKUP(A54,'Informe 2025'!$A$5:$C$164,3,FALSE)</f>
        <v>Programa Tutor</v>
      </c>
      <c r="I54">
        <f>VLOOKUP(H54,'Informe 2025'!$C$6:$M$166,11,FALSE)</f>
        <v>2</v>
      </c>
    </row>
    <row r="55" spans="1:9" x14ac:dyDescent="0.25">
      <c r="A55" s="2">
        <v>7</v>
      </c>
      <c r="B55" t="str">
        <f>VLOOKUP(A55,'Informe 2025'!$1:$1048576,2,FALSE)</f>
        <v>MARZO</v>
      </c>
      <c r="C55" s="25" t="s">
        <v>396</v>
      </c>
      <c r="D55" s="20" t="str">
        <f>VLOOKUP(C55,ID!$1:$1048576,4,FALSE)</f>
        <v>103277</v>
      </c>
      <c r="E55" s="20" t="str">
        <f>VLOOKUP(C55,ID!$1:$1048576,3,FALSE)</f>
        <v xml:space="preserve"> GUNNAR</v>
      </c>
      <c r="F55" s="20" t="str">
        <f>VLOOKUP(C55,ID!$1:$1048576,2,FALSE)</f>
        <v>LEYTON RODAS</v>
      </c>
      <c r="G55" s="2" t="str">
        <f>VLOOKUP(D55,CORREOS!$A$2:$B$570,2,FALSE)</f>
        <v>GLEYTON@ANTAYHOTELES.CL</v>
      </c>
      <c r="H55" s="24" t="str">
        <f>VLOOKUP(A55,'Informe 2025'!$A$5:$C$164,3,FALSE)</f>
        <v>Programa Tutor</v>
      </c>
      <c r="I55">
        <f>VLOOKUP(H55,'Informe 2025'!$C$6:$M$166,11,FALSE)</f>
        <v>2</v>
      </c>
    </row>
    <row r="56" spans="1:9" x14ac:dyDescent="0.25">
      <c r="A56" s="2">
        <v>7</v>
      </c>
      <c r="B56" t="str">
        <f>VLOOKUP(A56,'Informe 2025'!$1:$1048576,2,FALSE)</f>
        <v>MARZO</v>
      </c>
      <c r="C56" s="25" t="s">
        <v>1624</v>
      </c>
      <c r="D56" s="20" t="str">
        <f>VLOOKUP(C56,ID!$1:$1048576,4,FALSE)</f>
        <v>103845</v>
      </c>
      <c r="E56" s="20" t="str">
        <f>VLOOKUP(C56,ID!$1:$1048576,3,FALSE)</f>
        <v xml:space="preserve"> FRANCISCO JAVIER</v>
      </c>
      <c r="F56" s="20" t="str">
        <f>VLOOKUP(C56,ID!$1:$1048576,2,FALSE)</f>
        <v>ALLENDES VEGA</v>
      </c>
      <c r="G56" s="2" t="str">
        <f>VLOOKUP(D56,CORREOS!$A$2:$B$570,2,FALSE)</f>
        <v>FALLENDES@antayhoteles.cl</v>
      </c>
      <c r="H56" s="24" t="str">
        <f>VLOOKUP(A56,'Informe 2025'!$A$5:$C$164,3,FALSE)</f>
        <v>Programa Tutor</v>
      </c>
      <c r="I56">
        <f>VLOOKUP(H56,'Informe 2025'!$C$6:$M$166,11,FALSE)</f>
        <v>2</v>
      </c>
    </row>
    <row r="57" spans="1:9" x14ac:dyDescent="0.25">
      <c r="A57" s="2">
        <v>7</v>
      </c>
      <c r="B57" t="str">
        <f>VLOOKUP(A57,'Informe 2025'!$1:$1048576,2,FALSE)</f>
        <v>MARZO</v>
      </c>
      <c r="C57" s="25" t="s">
        <v>271</v>
      </c>
      <c r="D57" s="20" t="str">
        <f>VLOOKUP(C57,ID!$1:$1048576,4,FALSE)</f>
        <v>102903</v>
      </c>
      <c r="E57" s="20" t="str">
        <f>VLOOKUP(C57,ID!$1:$1048576,3,FALSE)</f>
        <v xml:space="preserve"> KEVIN MARCELO</v>
      </c>
      <c r="F57" s="20" t="str">
        <f>VLOOKUP(C57,ID!$1:$1048576,2,FALSE)</f>
        <v>AROS CASTRO</v>
      </c>
      <c r="G57" s="2" t="str">
        <f>VLOOKUP(D57,CORREOS!$A$2:$B$570,2,FALSE)</f>
        <v>KAROS@ANTAYHOTELES.CL</v>
      </c>
      <c r="H57" s="24" t="str">
        <f>VLOOKUP(A57,'Informe 2025'!$A$5:$C$164,3,FALSE)</f>
        <v>Programa Tutor</v>
      </c>
      <c r="I57">
        <f>VLOOKUP(H57,'Informe 2025'!$C$6:$M$166,11,FALSE)</f>
        <v>2</v>
      </c>
    </row>
    <row r="58" spans="1:9" x14ac:dyDescent="0.25">
      <c r="A58" s="2">
        <v>7</v>
      </c>
      <c r="B58" t="str">
        <f>VLOOKUP(A58,'Informe 2025'!$1:$1048576,2,FALSE)</f>
        <v>MARZO</v>
      </c>
      <c r="C58" s="25" t="s">
        <v>248</v>
      </c>
      <c r="D58" s="20" t="str">
        <f>VLOOKUP(C58,ID!$1:$1048576,4,FALSE)</f>
        <v>102546</v>
      </c>
      <c r="E58" s="20" t="str">
        <f>VLOOKUP(C58,ID!$1:$1048576,3,FALSE)</f>
        <v xml:space="preserve"> NICOLAS</v>
      </c>
      <c r="F58" s="20" t="str">
        <f>VLOOKUP(C58,ID!$1:$1048576,2,FALSE)</f>
        <v>ALARCON LAVIN</v>
      </c>
      <c r="G58" s="2" t="str">
        <f>VLOOKUP(D58,CORREOS!$A$2:$B$570,2,FALSE)</f>
        <v>NALARCON@ANTAYHOTELES.CL</v>
      </c>
      <c r="H58" s="24" t="str">
        <f>VLOOKUP(A58,'Informe 2025'!$A$5:$C$164,3,FALSE)</f>
        <v>Programa Tutor</v>
      </c>
      <c r="I58">
        <f>VLOOKUP(H58,'Informe 2025'!$C$6:$M$166,11,FALSE)</f>
        <v>2</v>
      </c>
    </row>
    <row r="59" spans="1:9" x14ac:dyDescent="0.25">
      <c r="A59" s="2">
        <v>7</v>
      </c>
      <c r="B59" t="str">
        <f>VLOOKUP(A59,'Informe 2025'!$1:$1048576,2,FALSE)</f>
        <v>MARZO</v>
      </c>
      <c r="C59" s="25" t="s">
        <v>1812</v>
      </c>
      <c r="D59" s="20" t="str">
        <f>VLOOKUP(C59,ID!$1:$1048576,4,FALSE)</f>
        <v>102795</v>
      </c>
      <c r="E59" s="20" t="str">
        <f>VLOOKUP(C59,ID!$1:$1048576,3,FALSE)</f>
        <v xml:space="preserve"> CATALINA FRANCISCA</v>
      </c>
      <c r="F59" s="20" t="str">
        <f>VLOOKUP(C59,ID!$1:$1048576,2,FALSE)</f>
        <v>CONTRERAS GONZALEZ</v>
      </c>
      <c r="G59" s="2" t="str">
        <f>VLOOKUP(D59,CORREOS!$A$2:$B$570,2,FALSE)</f>
        <v>CCGONZALEZ@ANTAYHOTELES.CL</v>
      </c>
      <c r="H59" s="24" t="str">
        <f>VLOOKUP(A59,'Informe 2025'!$A$5:$C$164,3,FALSE)</f>
        <v>Programa Tutor</v>
      </c>
      <c r="I59">
        <f>VLOOKUP(H59,'Informe 2025'!$C$6:$M$166,11,FALSE)</f>
        <v>2</v>
      </c>
    </row>
    <row r="60" spans="1:9" x14ac:dyDescent="0.25">
      <c r="A60" s="2">
        <v>7</v>
      </c>
      <c r="B60" t="str">
        <f>VLOOKUP(A60,'Informe 2025'!$1:$1048576,2,FALSE)</f>
        <v>MARZO</v>
      </c>
      <c r="C60" s="25" t="s">
        <v>390</v>
      </c>
      <c r="D60" s="20" t="str">
        <f>VLOOKUP(C60,ID!$1:$1048576,4,FALSE)</f>
        <v>102642</v>
      </c>
      <c r="E60" s="20" t="str">
        <f>VLOOKUP(C60,ID!$1:$1048576,3,FALSE)</f>
        <v xml:space="preserve"> JOSE LUIS</v>
      </c>
      <c r="F60" s="20" t="str">
        <f>VLOOKUP(C60,ID!$1:$1048576,2,FALSE)</f>
        <v>JIMENEZ VILLALOBOS</v>
      </c>
      <c r="G60" s="2" t="str">
        <f>VLOOKUP(D60,CORREOS!$A$2:$B$570,2,FALSE)</f>
        <v>JJVILLALOBOS@ANTAYHOTELES.CL</v>
      </c>
      <c r="H60" s="24" t="str">
        <f>VLOOKUP(A60,'Informe 2025'!$A$5:$C$164,3,FALSE)</f>
        <v>Programa Tutor</v>
      </c>
      <c r="I60">
        <f>VLOOKUP(H60,'Informe 2025'!$C$6:$M$166,11,FALSE)</f>
        <v>2</v>
      </c>
    </row>
    <row r="61" spans="1:9" x14ac:dyDescent="0.25">
      <c r="A61" s="2">
        <v>7</v>
      </c>
      <c r="B61" t="str">
        <f>VLOOKUP(A61,'Informe 2025'!$1:$1048576,2,FALSE)</f>
        <v>MARZO</v>
      </c>
      <c r="C61" s="25" t="s">
        <v>283</v>
      </c>
      <c r="D61" s="20" t="str">
        <f>VLOOKUP(C61,ID!$1:$1048576,4,FALSE)</f>
        <v>102996</v>
      </c>
      <c r="E61" s="20" t="str">
        <f>VLOOKUP(C61,ID!$1:$1048576,3,FALSE)</f>
        <v xml:space="preserve"> CATALINA VICTORIA</v>
      </c>
      <c r="F61" s="20" t="str">
        <f>VLOOKUP(C61,ID!$1:$1048576,2,FALSE)</f>
        <v>CABEZAS MENA</v>
      </c>
      <c r="G61" s="2" t="str">
        <f>VLOOKUP(D61,CORREOS!$A$2:$B$570,2,FALSE)</f>
        <v>CCABEZAS@ANTAYHOTELES.CL</v>
      </c>
      <c r="H61" s="24" t="str">
        <f>VLOOKUP(A61,'Informe 2025'!$A$5:$C$164,3,FALSE)</f>
        <v>Programa Tutor</v>
      </c>
      <c r="I61">
        <f>VLOOKUP(H61,'Informe 2025'!$C$6:$M$166,11,FALSE)</f>
        <v>2</v>
      </c>
    </row>
    <row r="62" spans="1:9" x14ac:dyDescent="0.25">
      <c r="A62" s="2">
        <v>7</v>
      </c>
      <c r="B62" t="str">
        <f>VLOOKUP(A62,'Informe 2025'!$1:$1048576,2,FALSE)</f>
        <v>MARZO</v>
      </c>
      <c r="C62" s="25" t="s">
        <v>303</v>
      </c>
      <c r="D62" s="20" t="str">
        <f>VLOOKUP(C62,ID!$1:$1048576,4,FALSE)</f>
        <v>102829</v>
      </c>
      <c r="E62" s="20" t="str">
        <f>VLOOKUP(C62,ID!$1:$1048576,3,FALSE)</f>
        <v xml:space="preserve"> WILSON DENNIS</v>
      </c>
      <c r="F62" s="20" t="str">
        <f>VLOOKUP(C62,ID!$1:$1048576,2,FALSE)</f>
        <v>CASTILLO PEREZ</v>
      </c>
      <c r="G62" s="2" t="str">
        <f>VLOOKUP(D62,CORREOS!$A$2:$B$570,2,FALSE)</f>
        <v>WCASTILLO@CL.LUCKIA.COM</v>
      </c>
      <c r="H62" s="24" t="str">
        <f>VLOOKUP(A62,'Informe 2025'!$A$5:$C$164,3,FALSE)</f>
        <v>Programa Tutor</v>
      </c>
      <c r="I62">
        <f>VLOOKUP(H62,'Informe 2025'!$C$6:$M$166,11,FALSE)</f>
        <v>2</v>
      </c>
    </row>
    <row r="63" spans="1:9" x14ac:dyDescent="0.25">
      <c r="A63" s="2">
        <v>7</v>
      </c>
      <c r="B63" t="str">
        <f>VLOOKUP(A63,'Informe 2025'!$1:$1048576,2,FALSE)</f>
        <v>MARZO</v>
      </c>
      <c r="C63" s="25" t="s">
        <v>251</v>
      </c>
      <c r="D63" s="20" t="str">
        <f>VLOOKUP(C63,ID!$1:$1048576,4,FALSE)</f>
        <v>102611</v>
      </c>
      <c r="E63" s="20" t="str">
        <f>VLOOKUP(C63,ID!$1:$1048576,3,FALSE)</f>
        <v xml:space="preserve"> DIEGO ALEXIS</v>
      </c>
      <c r="F63" s="20" t="str">
        <f>VLOOKUP(C63,ID!$1:$1048576,2,FALSE)</f>
        <v>ALID ALID</v>
      </c>
      <c r="G63" s="2" t="str">
        <f>VLOOKUP(D63,CORREOS!$A$2:$B$570,2,FALSE)</f>
        <v>DALID@ANTAYHOTELES.CL</v>
      </c>
      <c r="H63" s="24" t="str">
        <f>VLOOKUP(A63,'Informe 2025'!$A$5:$C$164,3,FALSE)</f>
        <v>Programa Tutor</v>
      </c>
      <c r="I63">
        <f>VLOOKUP(H63,'Informe 2025'!$C$6:$M$166,11,FALSE)</f>
        <v>2</v>
      </c>
    </row>
    <row r="64" spans="1:9" x14ac:dyDescent="0.25">
      <c r="A64" s="2">
        <v>7</v>
      </c>
      <c r="B64" t="str">
        <f>VLOOKUP(A64,'Informe 2025'!$1:$1048576,2,FALSE)</f>
        <v>MARZO</v>
      </c>
      <c r="C64" s="25" t="s">
        <v>534</v>
      </c>
      <c r="D64" s="20" t="str">
        <f>VLOOKUP(C64,ID!$1:$1048576,4,FALSE)</f>
        <v>102292</v>
      </c>
      <c r="E64" s="20" t="str">
        <f>VLOOKUP(C64,ID!$1:$1048576,3,FALSE)</f>
        <v xml:space="preserve"> ESKARLETT YUBINZA</v>
      </c>
      <c r="F64" s="20" t="str">
        <f>VLOOKUP(C64,ID!$1:$1048576,2,FALSE)</f>
        <v>ZULETA COLQUE</v>
      </c>
      <c r="G64" s="2" t="str">
        <f>VLOOKUP(D64,CORREOS!$A$2:$B$570,2,FALSE)</f>
        <v>EZCOLQUE@CL.LUCKIA.COM</v>
      </c>
      <c r="H64" s="24" t="str">
        <f>VLOOKUP(A64,'Informe 2025'!$A$5:$C$164,3,FALSE)</f>
        <v>Programa Tutor</v>
      </c>
      <c r="I64">
        <f>VLOOKUP(H64,'Informe 2025'!$C$6:$M$166,11,FALSE)</f>
        <v>2</v>
      </c>
    </row>
    <row r="65" spans="1:9" x14ac:dyDescent="0.25">
      <c r="A65" s="2">
        <v>7</v>
      </c>
      <c r="B65" t="str">
        <f>VLOOKUP(A65,'Informe 2025'!$1:$1048576,2,FALSE)</f>
        <v>MARZO</v>
      </c>
      <c r="C65" s="25" t="s">
        <v>339</v>
      </c>
      <c r="D65" s="20" t="str">
        <f>VLOOKUP(C65,ID!$1:$1048576,4,FALSE)</f>
        <v>101938</v>
      </c>
      <c r="E65" s="20" t="str">
        <f>VLOOKUP(C65,ID!$1:$1048576,3,FALSE)</f>
        <v xml:space="preserve"> LORETO ANDREA</v>
      </c>
      <c r="F65" s="20" t="str">
        <f>VLOOKUP(C65,ID!$1:$1048576,2,FALSE)</f>
        <v>FERNANDEZ GONZALEZ</v>
      </c>
      <c r="G65" s="2" t="str">
        <f>VLOOKUP(D65,CORREOS!$A$2:$B$570,2,FALSE)</f>
        <v>LFGONZALEZ@CL.LUCKIA.COM</v>
      </c>
      <c r="H65" s="24" t="str">
        <f>VLOOKUP(A65,'Informe 2025'!$A$5:$C$164,3,FALSE)</f>
        <v>Programa Tutor</v>
      </c>
      <c r="I65">
        <f>VLOOKUP(H65,'Informe 2025'!$C$6:$M$166,11,FALSE)</f>
        <v>2</v>
      </c>
    </row>
    <row r="66" spans="1:9" x14ac:dyDescent="0.25">
      <c r="A66" s="2">
        <v>7</v>
      </c>
      <c r="B66" t="str">
        <f>VLOOKUP(A66,'Informe 2025'!$1:$1048576,2,FALSE)</f>
        <v>MARZO</v>
      </c>
      <c r="C66" s="25" t="s">
        <v>395</v>
      </c>
      <c r="D66" s="20" t="str">
        <f>VLOOKUP(C66,ID!$1:$1048576,4,FALSE)</f>
        <v>102063</v>
      </c>
      <c r="E66" s="20" t="str">
        <f>VLOOKUP(C66,ID!$1:$1048576,3,FALSE)</f>
        <v xml:space="preserve"> MICHELLE ANNETTE</v>
      </c>
      <c r="F66" s="20" t="str">
        <f>VLOOKUP(C66,ID!$1:$1048576,2,FALSE)</f>
        <v>LEAL LEYTON</v>
      </c>
      <c r="G66" s="2" t="str">
        <f>VLOOKUP(D66,CORREOS!$A$2:$B$570,2,FALSE)</f>
        <v>MLEAL@CL.LUCKIA.COM</v>
      </c>
      <c r="H66" s="24" t="str">
        <f>VLOOKUP(A66,'Informe 2025'!$A$5:$C$164,3,FALSE)</f>
        <v>Programa Tutor</v>
      </c>
      <c r="I66">
        <f>VLOOKUP(H66,'Informe 2025'!$C$6:$M$166,11,FALSE)</f>
        <v>2</v>
      </c>
    </row>
    <row r="67" spans="1:9" x14ac:dyDescent="0.25">
      <c r="A67" s="2">
        <v>7</v>
      </c>
      <c r="B67" t="str">
        <f>VLOOKUP(A67,'Informe 2025'!$1:$1048576,2,FALSE)</f>
        <v>MARZO</v>
      </c>
      <c r="C67" s="25" t="s">
        <v>520</v>
      </c>
      <c r="D67" s="20" t="str">
        <f>VLOOKUP(C67,ID!$1:$1048576,4,FALSE)</f>
        <v>102459</v>
      </c>
      <c r="E67" s="20" t="str">
        <f>VLOOKUP(C67,ID!$1:$1048576,3,FALSE)</f>
        <v xml:space="preserve"> RENATO BRANCO</v>
      </c>
      <c r="F67" s="20" t="str">
        <f>VLOOKUP(C67,ID!$1:$1048576,2,FALSE)</f>
        <v>VALDIVIA ANDRADE</v>
      </c>
      <c r="G67" s="2" t="str">
        <f>VLOOKUP(D67,CORREOS!$A$2:$B$570,2,FALSE)</f>
        <v>RVALDIVIA@ANTAYHOTELES.CL</v>
      </c>
      <c r="H67" s="24" t="str">
        <f>VLOOKUP(A67,'Informe 2025'!$A$5:$C$164,3,FALSE)</f>
        <v>Programa Tutor</v>
      </c>
      <c r="I67">
        <f>VLOOKUP(H67,'Informe 2025'!$C$6:$M$166,11,FALSE)</f>
        <v>2</v>
      </c>
    </row>
    <row r="68" spans="1:9" x14ac:dyDescent="0.25">
      <c r="A68" s="2">
        <v>8</v>
      </c>
      <c r="B68" t="str">
        <f>VLOOKUP(A68,'Informe 2025'!$1:$1048576,2,FALSE)</f>
        <v>MARZO</v>
      </c>
      <c r="C68" s="25" t="s">
        <v>344</v>
      </c>
      <c r="D68" s="20" t="str">
        <f>VLOOKUP(C68,ID!$1:$1048576,4,FALSE)</f>
        <v>102787</v>
      </c>
      <c r="E68" s="20" t="str">
        <f>VLOOKUP(C68,ID!$1:$1048576,3,FALSE)</f>
        <v xml:space="preserve"> KARINA PATRICIA</v>
      </c>
      <c r="F68" s="20" t="str">
        <f>VLOOKUP(C68,ID!$1:$1048576,2,FALSE)</f>
        <v>FLORES MENDOZA</v>
      </c>
      <c r="G68" s="2" t="str">
        <f>VLOOKUP(D68,CORREOS!$A$2:$B$570,2,FALSE)</f>
        <v>KFMENDOZA@ANTAYHOTELES.CL</v>
      </c>
      <c r="H68" s="24" t="str">
        <f>VLOOKUP(A68,'Informe 2025'!$A$5:$C$164,3,FALSE)</f>
        <v>Programa Tutor/Inclusion laboral</v>
      </c>
      <c r="I68">
        <f>VLOOKUP(H68,'Informe 2025'!$C$6:$M$166,11,FALSE)</f>
        <v>2</v>
      </c>
    </row>
    <row r="69" spans="1:9" x14ac:dyDescent="0.25">
      <c r="A69" s="2">
        <v>8</v>
      </c>
      <c r="B69" t="str">
        <f>VLOOKUP(A69,'Informe 2025'!$1:$1048576,2,FALSE)</f>
        <v>MARZO</v>
      </c>
      <c r="C69" s="25" t="s">
        <v>365</v>
      </c>
      <c r="D69" s="20" t="str">
        <f>VLOOKUP(C69,ID!$1:$1048576,4,FALSE)</f>
        <v>101556</v>
      </c>
      <c r="E69" s="20" t="str">
        <f>VLOOKUP(C69,ID!$1:$1048576,3,FALSE)</f>
        <v xml:space="preserve"> VANIA ORIELE</v>
      </c>
      <c r="F69" s="20" t="str">
        <f>VLOOKUP(C69,ID!$1:$1048576,2,FALSE)</f>
        <v>GOMEZ VEGA</v>
      </c>
      <c r="G69" s="2" t="str">
        <f>VLOOKUP(D69,CORREOS!$A$2:$B$570,2,FALSE)</f>
        <v>VGOMEZ@ANTAYHOTELES.CL</v>
      </c>
      <c r="H69" s="24" t="str">
        <f>VLOOKUP(A69,'Informe 2025'!$A$5:$C$164,3,FALSE)</f>
        <v>Programa Tutor/Inclusion laboral</v>
      </c>
      <c r="I69">
        <f>VLOOKUP(H69,'Informe 2025'!$C$6:$M$166,11,FALSE)</f>
        <v>2</v>
      </c>
    </row>
    <row r="70" spans="1:9" x14ac:dyDescent="0.25">
      <c r="A70" s="2">
        <v>8</v>
      </c>
      <c r="B70" t="str">
        <f>VLOOKUP(A70,'Informe 2025'!$1:$1048576,2,FALSE)</f>
        <v>MARZO</v>
      </c>
      <c r="C70" s="25" t="s">
        <v>283</v>
      </c>
      <c r="D70" s="20" t="str">
        <f>VLOOKUP(C70,ID!$1:$1048576,4,FALSE)</f>
        <v>102996</v>
      </c>
      <c r="E70" s="20" t="str">
        <f>VLOOKUP(C70,ID!$1:$1048576,3,FALSE)</f>
        <v xml:space="preserve"> CATALINA VICTORIA</v>
      </c>
      <c r="F70" s="20" t="str">
        <f>VLOOKUP(C70,ID!$1:$1048576,2,FALSE)</f>
        <v>CABEZAS MENA</v>
      </c>
      <c r="G70" s="2" t="str">
        <f>VLOOKUP(D70,CORREOS!$A$2:$B$570,2,FALSE)</f>
        <v>CCABEZAS@ANTAYHOTELES.CL</v>
      </c>
      <c r="H70" s="24" t="str">
        <f>VLOOKUP(A70,'Informe 2025'!$A$5:$C$164,3,FALSE)</f>
        <v>Programa Tutor/Inclusion laboral</v>
      </c>
      <c r="I70">
        <f>VLOOKUP(H70,'Informe 2025'!$C$6:$M$166,11,FALSE)</f>
        <v>2</v>
      </c>
    </row>
    <row r="71" spans="1:9" x14ac:dyDescent="0.25">
      <c r="A71" s="2">
        <v>8</v>
      </c>
      <c r="B71" t="str">
        <f>VLOOKUP(A71,'Informe 2025'!$1:$1048576,2,FALSE)</f>
        <v>MARZO</v>
      </c>
      <c r="C71" s="25" t="s">
        <v>395</v>
      </c>
      <c r="D71" s="20" t="str">
        <f>VLOOKUP(C71,ID!$1:$1048576,4,FALSE)</f>
        <v>102063</v>
      </c>
      <c r="E71" s="20" t="str">
        <f>VLOOKUP(C71,ID!$1:$1048576,3,FALSE)</f>
        <v xml:space="preserve"> MICHELLE ANNETTE</v>
      </c>
      <c r="F71" s="20" t="str">
        <f>VLOOKUP(C71,ID!$1:$1048576,2,FALSE)</f>
        <v>LEAL LEYTON</v>
      </c>
      <c r="G71" s="2" t="str">
        <f>VLOOKUP(D71,CORREOS!$A$2:$B$570,2,FALSE)</f>
        <v>MLEAL@CL.LUCKIA.COM</v>
      </c>
      <c r="H71" s="24" t="str">
        <f>VLOOKUP(A71,'Informe 2025'!$A$5:$C$164,3,FALSE)</f>
        <v>Programa Tutor/Inclusion laboral</v>
      </c>
      <c r="I71">
        <f>VLOOKUP(H71,'Informe 2025'!$C$6:$M$166,11,FALSE)</f>
        <v>2</v>
      </c>
    </row>
    <row r="72" spans="1:9" x14ac:dyDescent="0.25">
      <c r="A72" s="2">
        <v>8</v>
      </c>
      <c r="B72" t="str">
        <f>VLOOKUP(A72,'Informe 2025'!$1:$1048576,2,FALSE)</f>
        <v>MARZO</v>
      </c>
      <c r="C72" s="25" t="s">
        <v>372</v>
      </c>
      <c r="D72" s="20" t="str">
        <f>VLOOKUP(C72,ID!$1:$1048576,4,FALSE)</f>
        <v>103010</v>
      </c>
      <c r="E72" s="20" t="str">
        <f>VLOOKUP(C72,ID!$1:$1048576,3,FALSE)</f>
        <v xml:space="preserve"> FERNANDO</v>
      </c>
      <c r="F72" s="20" t="str">
        <f>VLOOKUP(C72,ID!$1:$1048576,2,FALSE)</f>
        <v>GONZALEZ OROZCO</v>
      </c>
      <c r="G72" s="2" t="str">
        <f>VLOOKUP(D72,CORREOS!$A$2:$B$570,2,FALSE)</f>
        <v>FGOROZCO@ANTAYHOTELES.CL</v>
      </c>
      <c r="H72" s="24" t="str">
        <f>VLOOKUP(A72,'Informe 2025'!$A$5:$C$164,3,FALSE)</f>
        <v>Programa Tutor/Inclusion laboral</v>
      </c>
      <c r="I72">
        <f>VLOOKUP(H72,'Informe 2025'!$C$6:$M$166,11,FALSE)</f>
        <v>2</v>
      </c>
    </row>
    <row r="73" spans="1:9" x14ac:dyDescent="0.25">
      <c r="A73" s="2">
        <v>8</v>
      </c>
      <c r="B73" t="str">
        <f>VLOOKUP(A73,'Informe 2025'!$1:$1048576,2,FALSE)</f>
        <v>MARZO</v>
      </c>
      <c r="C73" s="25" t="s">
        <v>314</v>
      </c>
      <c r="D73" s="20" t="str">
        <f>VLOOKUP(C73,ID!$1:$1048576,4,FALSE)</f>
        <v>102849</v>
      </c>
      <c r="E73" s="20" t="str">
        <f>VLOOKUP(C73,ID!$1:$1048576,3,FALSE)</f>
        <v xml:space="preserve"> CRISTOBAL HUMBERTO</v>
      </c>
      <c r="F73" s="20" t="str">
        <f>VLOOKUP(C73,ID!$1:$1048576,2,FALSE)</f>
        <v>CONDORI CARVAJAL</v>
      </c>
      <c r="G73" s="2" t="str">
        <f>VLOOKUP(D73,CORREOS!$A$2:$B$570,2,FALSE)</f>
        <v>CCONDORI@ANTAYHOTELES.CL</v>
      </c>
      <c r="H73" s="24" t="str">
        <f>VLOOKUP(A73,'Informe 2025'!$A$5:$C$164,3,FALSE)</f>
        <v>Programa Tutor/Inclusion laboral</v>
      </c>
      <c r="I73">
        <f>VLOOKUP(H73,'Informe 2025'!$C$6:$M$166,11,FALSE)</f>
        <v>2</v>
      </c>
    </row>
    <row r="74" spans="1:9" x14ac:dyDescent="0.25">
      <c r="A74" s="2">
        <v>8</v>
      </c>
      <c r="B74" t="str">
        <f>VLOOKUP(A74,'Informe 2025'!$1:$1048576,2,FALSE)</f>
        <v>MARZO</v>
      </c>
      <c r="C74" s="25" t="s">
        <v>274</v>
      </c>
      <c r="D74" s="20" t="str">
        <f>VLOOKUP(C74,ID!$1:$1048576,4,FALSE)</f>
        <v>103084</v>
      </c>
      <c r="E74" s="20" t="str">
        <f>VLOOKUP(C74,ID!$1:$1048576,3,FALSE)</f>
        <v xml:space="preserve"> BASTIAN ANDRES</v>
      </c>
      <c r="F74" s="20" t="str">
        <f>VLOOKUP(C74,ID!$1:$1048576,2,FALSE)</f>
        <v>ARRIAGADA PALTA</v>
      </c>
      <c r="G74" s="2" t="str">
        <f>VLOOKUP(D74,CORREOS!$A$2:$B$570,2,FALSE)</f>
        <v>BARRIAGADA@ANTAYHOTELES.CL</v>
      </c>
      <c r="H74" s="24" t="str">
        <f>VLOOKUP(A74,'Informe 2025'!$A$5:$C$164,3,FALSE)</f>
        <v>Programa Tutor/Inclusion laboral</v>
      </c>
      <c r="I74">
        <f>VLOOKUP(H74,'Informe 2025'!$C$6:$M$166,11,FALSE)</f>
        <v>2</v>
      </c>
    </row>
    <row r="75" spans="1:9" x14ac:dyDescent="0.25">
      <c r="A75" s="2">
        <v>8</v>
      </c>
      <c r="B75" t="str">
        <f>VLOOKUP(A75,'Informe 2025'!$1:$1048576,2,FALSE)</f>
        <v>MARZO</v>
      </c>
      <c r="C75" s="25" t="s">
        <v>251</v>
      </c>
      <c r="D75" s="20" t="str">
        <f>VLOOKUP(C75,ID!$1:$1048576,4,FALSE)</f>
        <v>102611</v>
      </c>
      <c r="E75" s="20" t="str">
        <f>VLOOKUP(C75,ID!$1:$1048576,3,FALSE)</f>
        <v xml:space="preserve"> DIEGO ALEXIS</v>
      </c>
      <c r="F75" s="20" t="str">
        <f>VLOOKUP(C75,ID!$1:$1048576,2,FALSE)</f>
        <v>ALID ALID</v>
      </c>
      <c r="G75" s="2" t="str">
        <f>VLOOKUP(D75,CORREOS!$A$2:$B$570,2,FALSE)</f>
        <v>DALID@ANTAYHOTELES.CL</v>
      </c>
      <c r="H75" s="24" t="str">
        <f>VLOOKUP(A75,'Informe 2025'!$A$5:$C$164,3,FALSE)</f>
        <v>Programa Tutor/Inclusion laboral</v>
      </c>
      <c r="I75">
        <f>VLOOKUP(H75,'Informe 2025'!$C$6:$M$166,11,FALSE)</f>
        <v>2</v>
      </c>
    </row>
    <row r="76" spans="1:9" x14ac:dyDescent="0.25">
      <c r="A76" s="2">
        <v>8</v>
      </c>
      <c r="B76" t="str">
        <f>VLOOKUP(A76,'Informe 2025'!$1:$1048576,2,FALSE)</f>
        <v>MARZO</v>
      </c>
      <c r="C76" s="25" t="s">
        <v>303</v>
      </c>
      <c r="D76" s="20" t="str">
        <f>VLOOKUP(C76,ID!$1:$1048576,4,FALSE)</f>
        <v>102829</v>
      </c>
      <c r="E76" s="20" t="str">
        <f>VLOOKUP(C76,ID!$1:$1048576,3,FALSE)</f>
        <v xml:space="preserve"> WILSON DENNIS</v>
      </c>
      <c r="F76" s="20" t="str">
        <f>VLOOKUP(C76,ID!$1:$1048576,2,FALSE)</f>
        <v>CASTILLO PEREZ</v>
      </c>
      <c r="G76" s="2" t="str">
        <f>VLOOKUP(D76,CORREOS!$A$2:$B$570,2,FALSE)</f>
        <v>WCASTILLO@CL.LUCKIA.COM</v>
      </c>
      <c r="H76" s="24" t="str">
        <f>VLOOKUP(A76,'Informe 2025'!$A$5:$C$164,3,FALSE)</f>
        <v>Programa Tutor/Inclusion laboral</v>
      </c>
      <c r="I76">
        <f>VLOOKUP(H76,'Informe 2025'!$C$6:$M$166,11,FALSE)</f>
        <v>2</v>
      </c>
    </row>
    <row r="77" spans="1:9" x14ac:dyDescent="0.25">
      <c r="A77" s="2">
        <v>8</v>
      </c>
      <c r="B77" t="str">
        <f>VLOOKUP(A77,'Informe 2025'!$1:$1048576,2,FALSE)</f>
        <v>MARZO</v>
      </c>
      <c r="C77" s="25" t="s">
        <v>396</v>
      </c>
      <c r="D77" s="20" t="str">
        <f>VLOOKUP(C77,ID!$1:$1048576,4,FALSE)</f>
        <v>103277</v>
      </c>
      <c r="E77" s="20" t="str">
        <f>VLOOKUP(C77,ID!$1:$1048576,3,FALSE)</f>
        <v xml:space="preserve"> GUNNAR</v>
      </c>
      <c r="F77" s="20" t="str">
        <f>VLOOKUP(C77,ID!$1:$1048576,2,FALSE)</f>
        <v>LEYTON RODAS</v>
      </c>
      <c r="G77" s="2" t="str">
        <f>VLOOKUP(D77,CORREOS!$A$2:$B$570,2,FALSE)</f>
        <v>GLEYTON@ANTAYHOTELES.CL</v>
      </c>
      <c r="H77" s="24" t="str">
        <f>VLOOKUP(A77,'Informe 2025'!$A$5:$C$164,3,FALSE)</f>
        <v>Programa Tutor/Inclusion laboral</v>
      </c>
      <c r="I77">
        <f>VLOOKUP(H77,'Informe 2025'!$C$6:$M$166,11,FALSE)</f>
        <v>2</v>
      </c>
    </row>
    <row r="78" spans="1:9" x14ac:dyDescent="0.25">
      <c r="A78" s="2">
        <v>8</v>
      </c>
      <c r="B78" t="str">
        <f>VLOOKUP(A78,'Informe 2025'!$1:$1048576,2,FALSE)</f>
        <v>MARZO</v>
      </c>
      <c r="C78" s="25" t="s">
        <v>339</v>
      </c>
      <c r="D78" s="20" t="str">
        <f>VLOOKUP(C78,ID!$1:$1048576,4,FALSE)</f>
        <v>101938</v>
      </c>
      <c r="E78" s="20" t="str">
        <f>VLOOKUP(C78,ID!$1:$1048576,3,FALSE)</f>
        <v xml:space="preserve"> LORETO ANDREA</v>
      </c>
      <c r="F78" s="20" t="str">
        <f>VLOOKUP(C78,ID!$1:$1048576,2,FALSE)</f>
        <v>FERNANDEZ GONZALEZ</v>
      </c>
      <c r="G78" s="2" t="str">
        <f>VLOOKUP(D78,CORREOS!$A$2:$B$570,2,FALSE)</f>
        <v>LFGONZALEZ@CL.LUCKIA.COM</v>
      </c>
      <c r="H78" s="24" t="str">
        <f>VLOOKUP(A78,'Informe 2025'!$A$5:$C$164,3,FALSE)</f>
        <v>Programa Tutor/Inclusion laboral</v>
      </c>
      <c r="I78">
        <f>VLOOKUP(H78,'Informe 2025'!$C$6:$M$166,11,FALSE)</f>
        <v>2</v>
      </c>
    </row>
    <row r="79" spans="1:9" x14ac:dyDescent="0.25">
      <c r="A79" s="2">
        <v>8</v>
      </c>
      <c r="B79" t="str">
        <f>VLOOKUP(A79,'Informe 2025'!$1:$1048576,2,FALSE)</f>
        <v>MARZO</v>
      </c>
      <c r="C79" s="25" t="s">
        <v>534</v>
      </c>
      <c r="D79" s="20" t="str">
        <f>VLOOKUP(C79,ID!$1:$1048576,4,FALSE)</f>
        <v>102292</v>
      </c>
      <c r="E79" s="20" t="str">
        <f>VLOOKUP(C79,ID!$1:$1048576,3,FALSE)</f>
        <v xml:space="preserve"> ESKARLETT YUBINZA</v>
      </c>
      <c r="F79" s="20" t="str">
        <f>VLOOKUP(C79,ID!$1:$1048576,2,FALSE)</f>
        <v>ZULETA COLQUE</v>
      </c>
      <c r="G79" s="2" t="str">
        <f>VLOOKUP(D79,CORREOS!$A$2:$B$570,2,FALSE)</f>
        <v>EZCOLQUE@CL.LUCKIA.COM</v>
      </c>
      <c r="H79" s="24" t="str">
        <f>VLOOKUP(A79,'Informe 2025'!$A$5:$C$164,3,FALSE)</f>
        <v>Programa Tutor/Inclusion laboral</v>
      </c>
      <c r="I79">
        <f>VLOOKUP(H79,'Informe 2025'!$C$6:$M$166,11,FALSE)</f>
        <v>2</v>
      </c>
    </row>
    <row r="80" spans="1:9" x14ac:dyDescent="0.25">
      <c r="A80" s="2">
        <v>8</v>
      </c>
      <c r="B80" t="str">
        <f>VLOOKUP(A80,'Informe 2025'!$1:$1048576,2,FALSE)</f>
        <v>MARZO</v>
      </c>
      <c r="C80" s="25" t="s">
        <v>271</v>
      </c>
      <c r="D80" s="20" t="str">
        <f>VLOOKUP(C80,ID!$1:$1048576,4,FALSE)</f>
        <v>102903</v>
      </c>
      <c r="E80" s="20" t="str">
        <f>VLOOKUP(C80,ID!$1:$1048576,3,FALSE)</f>
        <v xml:space="preserve"> KEVIN MARCELO</v>
      </c>
      <c r="F80" s="20" t="str">
        <f>VLOOKUP(C80,ID!$1:$1048576,2,FALSE)</f>
        <v>AROS CASTRO</v>
      </c>
      <c r="G80" s="2" t="str">
        <f>VLOOKUP(D80,CORREOS!$A$2:$B$570,2,FALSE)</f>
        <v>KAROS@ANTAYHOTELES.CL</v>
      </c>
      <c r="H80" s="24" t="str">
        <f>VLOOKUP(A80,'Informe 2025'!$A$5:$C$164,3,FALSE)</f>
        <v>Programa Tutor/Inclusion laboral</v>
      </c>
      <c r="I80">
        <f>VLOOKUP(H80,'Informe 2025'!$C$6:$M$166,11,FALSE)</f>
        <v>2</v>
      </c>
    </row>
    <row r="81" spans="1:9" x14ac:dyDescent="0.25">
      <c r="A81" s="2">
        <v>8</v>
      </c>
      <c r="B81" t="str">
        <f>VLOOKUP(A81,'Informe 2025'!$1:$1048576,2,FALSE)</f>
        <v>MARZO</v>
      </c>
      <c r="C81" s="25" t="s">
        <v>1812</v>
      </c>
      <c r="D81" s="20" t="str">
        <f>VLOOKUP(C81,ID!$1:$1048576,4,FALSE)</f>
        <v>102795</v>
      </c>
      <c r="E81" s="20" t="str">
        <f>VLOOKUP(C81,ID!$1:$1048576,3,FALSE)</f>
        <v xml:space="preserve"> CATALINA FRANCISCA</v>
      </c>
      <c r="F81" s="20" t="str">
        <f>VLOOKUP(C81,ID!$1:$1048576,2,FALSE)</f>
        <v>CONTRERAS GONZALEZ</v>
      </c>
      <c r="G81" s="2" t="str">
        <f>VLOOKUP(D81,CORREOS!$A$2:$B$570,2,FALSE)</f>
        <v>CCGONZALEZ@ANTAYHOTELES.CL</v>
      </c>
      <c r="H81" s="24" t="str">
        <f>VLOOKUP(A81,'Informe 2025'!$A$5:$C$164,3,FALSE)</f>
        <v>Programa Tutor/Inclusion laboral</v>
      </c>
      <c r="I81">
        <f>VLOOKUP(H81,'Informe 2025'!$C$6:$M$166,11,FALSE)</f>
        <v>2</v>
      </c>
    </row>
    <row r="82" spans="1:9" x14ac:dyDescent="0.25">
      <c r="A82" s="2">
        <v>9</v>
      </c>
      <c r="B82" t="str">
        <f>VLOOKUP(A82,'Informe 2025'!$1:$1048576,2,FALSE)</f>
        <v>MARZO</v>
      </c>
      <c r="C82" s="25" t="s">
        <v>267</v>
      </c>
      <c r="D82" s="20" t="str">
        <f>VLOOKUP(C82,ID!$1:$1048576,4,FALSE)</f>
        <v>103457</v>
      </c>
      <c r="E82" s="20" t="str">
        <f>VLOOKUP(C82,ID!$1:$1048576,3,FALSE)</f>
        <v xml:space="preserve"> MARCELO ORLANDO</v>
      </c>
      <c r="F82" s="20" t="str">
        <f>VLOOKUP(C82,ID!$1:$1048576,2,FALSE)</f>
        <v>ARELLANO TARQUI</v>
      </c>
      <c r="G82" s="2" t="str">
        <f>VLOOKUP(D82,CORREOS!$A$2:$B$570,2,FALSE)</f>
        <v>MARELLANO@ANTAYHOTELES.CL</v>
      </c>
      <c r="H82" s="24" t="str">
        <f>VLOOKUP(A82,'Informe 2025'!$A$5:$C$164,3,FALSE)</f>
        <v>Cata de Vinos</v>
      </c>
      <c r="I82">
        <f>VLOOKUP(H82,'Informe 2025'!$C$6:$M$166,11,FALSE)</f>
        <v>1.5</v>
      </c>
    </row>
    <row r="83" spans="1:9" x14ac:dyDescent="0.25">
      <c r="A83" s="2">
        <v>9</v>
      </c>
      <c r="B83" t="str">
        <f>VLOOKUP(A83,'Informe 2025'!$1:$1048576,2,FALSE)</f>
        <v>MARZO</v>
      </c>
      <c r="C83" s="25" t="s">
        <v>432</v>
      </c>
      <c r="D83" s="20" t="str">
        <f>VLOOKUP(C83,ID!$1:$1048576,4,FALSE)</f>
        <v>102696</v>
      </c>
      <c r="E83" s="20" t="str">
        <f>VLOOKUP(C83,ID!$1:$1048576,3,FALSE)</f>
        <v xml:space="preserve"> FELIPE</v>
      </c>
      <c r="F83" s="20" t="str">
        <f>VLOOKUP(C83,ID!$1:$1048576,2,FALSE)</f>
        <v>NAHUEL HUENUPI</v>
      </c>
      <c r="G83" s="2" t="str">
        <f>VLOOKUP(D83,CORREOS!$A$2:$B$570,2,FALSE)</f>
        <v>FNAHUEL@ANTAYHOTELES.CL</v>
      </c>
      <c r="H83" s="24" t="str">
        <f>VLOOKUP(A83,'Informe 2025'!$A$5:$C$164,3,FALSE)</f>
        <v>Cata de Vinos</v>
      </c>
      <c r="I83">
        <f>VLOOKUP(H83,'Informe 2025'!$C$6:$M$166,11,FALSE)</f>
        <v>1.5</v>
      </c>
    </row>
    <row r="84" spans="1:9" x14ac:dyDescent="0.25">
      <c r="A84" s="2">
        <v>9</v>
      </c>
      <c r="B84" t="str">
        <f>VLOOKUP(A84,'Informe 2025'!$1:$1048576,2,FALSE)</f>
        <v>MARZO</v>
      </c>
      <c r="C84" s="25" t="s">
        <v>434</v>
      </c>
      <c r="D84" s="20" t="str">
        <f>VLOOKUP(C84,ID!$1:$1048576,4,FALSE)</f>
        <v>103065</v>
      </c>
      <c r="E84" s="20" t="str">
        <f>VLOOKUP(C84,ID!$1:$1048576,3,FALSE)</f>
        <v xml:space="preserve"> FELIPE</v>
      </c>
      <c r="F84" s="20" t="str">
        <f>VLOOKUP(C84,ID!$1:$1048576,2,FALSE)</f>
        <v>NAVARRETE LISBOA</v>
      </c>
      <c r="G84" s="2" t="str">
        <f>VLOOKUP(D84,CORREOS!$A$2:$B$570,2,FALSE)</f>
        <v>FNAVARRETE@ANTAYHOTELES.CL</v>
      </c>
      <c r="H84" s="24" t="str">
        <f>VLOOKUP(A84,'Informe 2025'!$A$5:$C$164,3,FALSE)</f>
        <v>Cata de Vinos</v>
      </c>
      <c r="I84">
        <f>VLOOKUP(H84,'Informe 2025'!$C$6:$M$166,11,FALSE)</f>
        <v>1.5</v>
      </c>
    </row>
    <row r="85" spans="1:9" x14ac:dyDescent="0.25">
      <c r="A85" s="2">
        <v>9</v>
      </c>
      <c r="B85" t="str">
        <f>VLOOKUP(A85,'Informe 2025'!$1:$1048576,2,FALSE)</f>
        <v>MARZO</v>
      </c>
      <c r="C85" s="25" t="s">
        <v>1813</v>
      </c>
      <c r="D85" s="20" t="str">
        <f>VLOOKUP(C85,ID!$1:$1048576,4,FALSE)</f>
        <v>103086</v>
      </c>
      <c r="E85" s="20" t="str">
        <f>VLOOKUP(C85,ID!$1:$1048576,3,FALSE)</f>
        <v xml:space="preserve"> PABLO ABRAHAM</v>
      </c>
      <c r="F85" s="20" t="str">
        <f>VLOOKUP(C85,ID!$1:$1048576,2,FALSE)</f>
        <v>CONTRERAS VARGAS</v>
      </c>
      <c r="G85" s="2" t="str">
        <f>VLOOKUP(D85,CORREOS!$A$2:$B$570,2,FALSE)</f>
        <v>PCVARGAS@ANTAYHOTELES.CL</v>
      </c>
      <c r="H85" s="24" t="str">
        <f>VLOOKUP(A85,'Informe 2025'!$A$5:$C$164,3,FALSE)</f>
        <v>Cata de Vinos</v>
      </c>
      <c r="I85">
        <f>VLOOKUP(H85,'Informe 2025'!$C$6:$M$166,11,FALSE)</f>
        <v>1.5</v>
      </c>
    </row>
    <row r="86" spans="1:9" x14ac:dyDescent="0.25">
      <c r="A86" s="2">
        <v>9</v>
      </c>
      <c r="B86" t="str">
        <f>VLOOKUP(A86,'Informe 2025'!$1:$1048576,2,FALSE)</f>
        <v>MARZO</v>
      </c>
      <c r="C86" s="25" t="s">
        <v>336</v>
      </c>
      <c r="D86" s="20" t="str">
        <f>VLOOKUP(C86,ID!$1:$1048576,4,FALSE)</f>
        <v>102539</v>
      </c>
      <c r="E86" s="20" t="str">
        <f>VLOOKUP(C86,ID!$1:$1048576,3,FALSE)</f>
        <v xml:space="preserve"> CHRISTY</v>
      </c>
      <c r="F86" s="20" t="str">
        <f>VLOOKUP(C86,ID!$1:$1048576,2,FALSE)</f>
        <v>ELIZALDE TORRES</v>
      </c>
      <c r="G86" s="2" t="str">
        <f>VLOOKUP(D86,CORREOS!$A$2:$B$570,2,FALSE)</f>
        <v>CELIZALDE@ANTAYHOTELES.CL</v>
      </c>
      <c r="H86" s="24" t="str">
        <f>VLOOKUP(A86,'Informe 2025'!$A$5:$C$164,3,FALSE)</f>
        <v>Cata de Vinos</v>
      </c>
      <c r="I86">
        <f>VLOOKUP(H86,'Informe 2025'!$C$6:$M$166,11,FALSE)</f>
        <v>1.5</v>
      </c>
    </row>
    <row r="87" spans="1:9" x14ac:dyDescent="0.25">
      <c r="A87" s="2">
        <v>9</v>
      </c>
      <c r="B87" t="str">
        <f>VLOOKUP(A87,'Informe 2025'!$1:$1048576,2,FALSE)</f>
        <v>MARZO</v>
      </c>
      <c r="C87" s="25" t="s">
        <v>431</v>
      </c>
      <c r="D87" s="20" t="str">
        <f>VLOOKUP(C87,ID!$1:$1048576,4,FALSE)</f>
        <v>102865</v>
      </c>
      <c r="E87" s="20" t="str">
        <f>VLOOKUP(C87,ID!$1:$1048576,3,FALSE)</f>
        <v xml:space="preserve"> CARLA ISABEL</v>
      </c>
      <c r="F87" s="20" t="str">
        <f>VLOOKUP(C87,ID!$1:$1048576,2,FALSE)</f>
        <v>MURUA GARCIA</v>
      </c>
      <c r="G87" s="2" t="str">
        <f>VLOOKUP(D87,CORREOS!$A$2:$B$570,2,FALSE)</f>
        <v>CMURUA@ANTAYHOTELES.CL</v>
      </c>
      <c r="H87" s="24" t="str">
        <f>VLOOKUP(A87,'Informe 2025'!$A$5:$C$164,3,FALSE)</f>
        <v>Cata de Vinos</v>
      </c>
      <c r="I87">
        <f>VLOOKUP(H87,'Informe 2025'!$C$6:$M$166,11,FALSE)</f>
        <v>1.5</v>
      </c>
    </row>
    <row r="88" spans="1:9" x14ac:dyDescent="0.25">
      <c r="A88" s="2">
        <v>9</v>
      </c>
      <c r="B88" t="str">
        <f>VLOOKUP(A88,'Informe 2025'!$1:$1048576,2,FALSE)</f>
        <v>MARZO</v>
      </c>
      <c r="C88" s="25" t="s">
        <v>1814</v>
      </c>
      <c r="D88" s="20" t="str">
        <f>VLOOKUP(C88,ID!$1:$1048576,4,FALSE)</f>
        <v>102600</v>
      </c>
      <c r="E88" s="20" t="str">
        <f>VLOOKUP(C88,ID!$1:$1048576,3,FALSE)</f>
        <v xml:space="preserve"> LUCA GUSTAVO</v>
      </c>
      <c r="F88" s="20" t="str">
        <f>VLOOKUP(C88,ID!$1:$1048576,2,FALSE)</f>
        <v>VALDOVINOS CODERCH</v>
      </c>
      <c r="G88" s="2" t="str">
        <f>VLOOKUP(D88,CORREOS!$A$2:$B$570,2,FALSE)</f>
        <v>LVALDOVINOS@ANTAYHOTELES.CL</v>
      </c>
      <c r="H88" s="24" t="str">
        <f>VLOOKUP(A88,'Informe 2025'!$A$5:$C$164,3,FALSE)</f>
        <v>Cata de Vinos</v>
      </c>
      <c r="I88">
        <f>VLOOKUP(H88,'Informe 2025'!$C$6:$M$166,11,FALSE)</f>
        <v>1.5</v>
      </c>
    </row>
    <row r="89" spans="1:9" x14ac:dyDescent="0.25">
      <c r="A89" s="2">
        <v>9</v>
      </c>
      <c r="B89" t="str">
        <f>VLOOKUP(A89,'Informe 2025'!$1:$1048576,2,FALSE)</f>
        <v>MARZO</v>
      </c>
      <c r="C89" s="25" t="s">
        <v>1632</v>
      </c>
      <c r="D89" s="20" t="str">
        <f>VLOOKUP(C89,ID!$1:$1048576,4,FALSE)</f>
        <v>103252</v>
      </c>
      <c r="E89" s="20" t="str">
        <f>VLOOKUP(C89,ID!$1:$1048576,3,FALSE)</f>
        <v xml:space="preserve"> DIEGO ADRIAN</v>
      </c>
      <c r="F89" s="20" t="str">
        <f>VLOOKUP(C89,ID!$1:$1048576,2,FALSE)</f>
        <v>BARREAU FLORES</v>
      </c>
      <c r="G89" s="2" t="str">
        <f>VLOOKUP(D89,CORREOS!$A$2:$B$570,2,FALSE)</f>
        <v>DBARREAU@antayhoteles.cl</v>
      </c>
      <c r="H89" s="24" t="str">
        <f>VLOOKUP(A89,'Informe 2025'!$A$5:$C$164,3,FALSE)</f>
        <v>Cata de Vinos</v>
      </c>
      <c r="I89">
        <f>VLOOKUP(H89,'Informe 2025'!$C$6:$M$166,11,FALSE)</f>
        <v>1.5</v>
      </c>
    </row>
    <row r="90" spans="1:9" x14ac:dyDescent="0.25">
      <c r="A90" s="2">
        <v>9</v>
      </c>
      <c r="B90" t="str">
        <f>VLOOKUP(A90,'Informe 2025'!$1:$1048576,2,FALSE)</f>
        <v>MARZO</v>
      </c>
      <c r="C90" s="25" t="s">
        <v>1815</v>
      </c>
      <c r="D90" s="20" t="str">
        <f>VLOOKUP(C90,ID!$1:$1048576,4,FALSE)</f>
        <v>104068</v>
      </c>
      <c r="E90" s="20" t="str">
        <f>VLOOKUP(C90,ID!$1:$1048576,3,FALSE)</f>
        <v xml:space="preserve"> BRANDON NICOLAS</v>
      </c>
      <c r="F90" s="20" t="str">
        <f>VLOOKUP(C90,ID!$1:$1048576,2,FALSE)</f>
        <v>GOMEZ LOBOS</v>
      </c>
      <c r="G90" s="2" t="str">
        <f>VLOOKUP(D90,CORREOS!$A$2:$B$570,2,FALSE)</f>
        <v>BGLOBOS@ANTAYHOTELES.CL</v>
      </c>
      <c r="H90" s="24" t="str">
        <f>VLOOKUP(A90,'Informe 2025'!$A$5:$C$164,3,FALSE)</f>
        <v>Cata de Vinos</v>
      </c>
      <c r="I90">
        <f>VLOOKUP(H90,'Informe 2025'!$C$6:$M$166,11,FALSE)</f>
        <v>1.5</v>
      </c>
    </row>
    <row r="91" spans="1:9" x14ac:dyDescent="0.25">
      <c r="A91" s="2">
        <v>9</v>
      </c>
      <c r="B91" t="str">
        <f>VLOOKUP(A91,'Informe 2025'!$1:$1048576,2,FALSE)</f>
        <v>MARZO</v>
      </c>
      <c r="C91" s="25" t="s">
        <v>486</v>
      </c>
      <c r="D91" s="20" t="str">
        <f>VLOOKUP(C91,ID!$1:$1048576,4,FALSE)</f>
        <v>102741</v>
      </c>
      <c r="E91" s="20" t="str">
        <f>VLOOKUP(C91,ID!$1:$1048576,3,FALSE)</f>
        <v xml:space="preserve"> ELIANA</v>
      </c>
      <c r="F91" s="20" t="str">
        <f>VLOOKUP(C91,ID!$1:$1048576,2,FALSE)</f>
        <v>RODAS SALCES</v>
      </c>
      <c r="G91" s="2" t="str">
        <f>VLOOKUP(D91,CORREOS!$A$2:$B$570,2,FALSE)</f>
        <v>ERODAS@ANTAYHOTELES.CL</v>
      </c>
      <c r="H91" s="24" t="str">
        <f>VLOOKUP(A91,'Informe 2025'!$A$5:$C$164,3,FALSE)</f>
        <v>Cata de Vinos</v>
      </c>
      <c r="I91">
        <f>VLOOKUP(H91,'Informe 2025'!$C$6:$M$166,11,FALSE)</f>
        <v>1.5</v>
      </c>
    </row>
    <row r="92" spans="1:9" x14ac:dyDescent="0.25">
      <c r="A92" s="2">
        <v>9</v>
      </c>
      <c r="B92" t="str">
        <f>VLOOKUP(A92,'Informe 2025'!$1:$1048576,2,FALSE)</f>
        <v>MARZO</v>
      </c>
      <c r="C92" s="25" t="s">
        <v>390</v>
      </c>
      <c r="D92" s="20" t="str">
        <f>VLOOKUP(C92,ID!$1:$1048576,4,FALSE)</f>
        <v>102642</v>
      </c>
      <c r="E92" s="20" t="str">
        <f>VLOOKUP(C92,ID!$1:$1048576,3,FALSE)</f>
        <v xml:space="preserve"> JOSE LUIS</v>
      </c>
      <c r="F92" s="20" t="str">
        <f>VLOOKUP(C92,ID!$1:$1048576,2,FALSE)</f>
        <v>JIMENEZ VILLALOBOS</v>
      </c>
      <c r="G92" s="2" t="str">
        <f>VLOOKUP(D92,CORREOS!$A$2:$B$570,2,FALSE)</f>
        <v>JJVILLALOBOS@ANTAYHOTELES.CL</v>
      </c>
      <c r="H92" s="24" t="str">
        <f>VLOOKUP(A92,'Informe 2025'!$A$5:$C$164,3,FALSE)</f>
        <v>Cata de Vinos</v>
      </c>
      <c r="I92">
        <f>VLOOKUP(H92,'Informe 2025'!$C$6:$M$166,11,FALSE)</f>
        <v>1.5</v>
      </c>
    </row>
    <row r="93" spans="1:9" x14ac:dyDescent="0.25">
      <c r="A93" s="2">
        <v>9</v>
      </c>
      <c r="B93" t="str">
        <f>VLOOKUP(A93,'Informe 2025'!$1:$1048576,2,FALSE)</f>
        <v>MARZO</v>
      </c>
      <c r="C93" s="25" t="s">
        <v>1605</v>
      </c>
      <c r="D93" s="20" t="str">
        <f>VLOOKUP(C93,ID!$1:$1048576,4,FALSE)</f>
        <v>101934</v>
      </c>
      <c r="E93" s="20" t="str">
        <f>VLOOKUP(C93,ID!$1:$1048576,3,FALSE)</f>
        <v xml:space="preserve"> ANAHI GRACIELA</v>
      </c>
      <c r="F93" s="20" t="str">
        <f>VLOOKUP(C93,ID!$1:$1048576,2,FALSE)</f>
        <v>VENTURA AJAYE</v>
      </c>
      <c r="G93" s="2" t="str">
        <f>VLOOKUP(D93,CORREOS!$A$2:$B$570,2,FALSE)</f>
        <v>AVAJAYE@ANTAYHOTELES.CL</v>
      </c>
      <c r="H93" s="24" t="str">
        <f>VLOOKUP(A93,'Informe 2025'!$A$5:$C$164,3,FALSE)</f>
        <v>Cata de Vinos</v>
      </c>
      <c r="I93">
        <f>VLOOKUP(H93,'Informe 2025'!$C$6:$M$166,11,FALSE)</f>
        <v>1.5</v>
      </c>
    </row>
    <row r="94" spans="1:9" x14ac:dyDescent="0.25">
      <c r="A94" s="2">
        <v>9</v>
      </c>
      <c r="B94" t="str">
        <f>VLOOKUP(A94,'Informe 2025'!$1:$1048576,2,FALSE)</f>
        <v>MARZO</v>
      </c>
      <c r="C94" s="25" t="s">
        <v>468</v>
      </c>
      <c r="D94" s="20" t="str">
        <f>VLOOKUP(C94,ID!$1:$1048576,4,FALSE)</f>
        <v>100980</v>
      </c>
      <c r="E94" s="20" t="str">
        <f>VLOOKUP(C94,ID!$1:$1048576,3,FALSE)</f>
        <v xml:space="preserve"> STEFANO</v>
      </c>
      <c r="F94" s="20" t="str">
        <f>VLOOKUP(C94,ID!$1:$1048576,2,FALSE)</f>
        <v>PULS</v>
      </c>
      <c r="G94" s="2" t="str">
        <f>VLOOKUP(D94,CORREOS!$A$2:$B$570,2,FALSE)</f>
        <v>SPULS@ANTAYHOTELES.CL</v>
      </c>
      <c r="H94" s="24" t="str">
        <f>VLOOKUP(A94,'Informe 2025'!$A$5:$C$164,3,FALSE)</f>
        <v>Cata de Vinos</v>
      </c>
      <c r="I94">
        <f>VLOOKUP(H94,'Informe 2025'!$C$6:$M$166,11,FALSE)</f>
        <v>1.5</v>
      </c>
    </row>
    <row r="95" spans="1:9" x14ac:dyDescent="0.25">
      <c r="A95" s="2">
        <v>9</v>
      </c>
      <c r="B95" t="str">
        <f>VLOOKUP(A95,'Informe 2025'!$1:$1048576,2,FALSE)</f>
        <v>MARZO</v>
      </c>
      <c r="C95" s="25" t="s">
        <v>246</v>
      </c>
      <c r="D95" s="20" t="str">
        <f>VLOOKUP(C95,ID!$1:$1048576,4,FALSE)</f>
        <v>102101</v>
      </c>
      <c r="E95" s="20" t="str">
        <f>VLOOKUP(C95,ID!$1:$1048576,3,FALSE)</f>
        <v xml:space="preserve"> GUILLERMO JESUS</v>
      </c>
      <c r="F95" s="20" t="str">
        <f>VLOOKUP(C95,ID!$1:$1048576,2,FALSE)</f>
        <v>ALANIZ MERY</v>
      </c>
      <c r="G95" s="2" t="str">
        <f>VLOOKUP(D95,CORREOS!$A$2:$B$570,2,FALSE)</f>
        <v>GALANIZ@ANTAYHOTELES.CL</v>
      </c>
      <c r="H95" s="24" t="str">
        <f>VLOOKUP(A95,'Informe 2025'!$A$5:$C$164,3,FALSE)</f>
        <v>Cata de Vinos</v>
      </c>
      <c r="I95">
        <f>VLOOKUP(H95,'Informe 2025'!$C$6:$M$166,11,FALSE)</f>
        <v>1.5</v>
      </c>
    </row>
    <row r="96" spans="1:9" x14ac:dyDescent="0.25">
      <c r="A96" s="2">
        <v>9</v>
      </c>
      <c r="B96" t="str">
        <f>VLOOKUP(A96,'Informe 2025'!$1:$1048576,2,FALSE)</f>
        <v>MARZO</v>
      </c>
      <c r="C96" s="25" t="s">
        <v>382</v>
      </c>
      <c r="D96" s="20" t="str">
        <f>VLOOKUP(C96,ID!$1:$1048576,4,FALSE)</f>
        <v>102960</v>
      </c>
      <c r="E96" s="20" t="str">
        <f>VLOOKUP(C96,ID!$1:$1048576,3,FALSE)</f>
        <v xml:space="preserve"> VALENTINA PALOMA</v>
      </c>
      <c r="F96" s="20" t="str">
        <f>VLOOKUP(C96,ID!$1:$1048576,2,FALSE)</f>
        <v>HERRERA GARCIA</v>
      </c>
      <c r="G96" s="2" t="str">
        <f>VLOOKUP(D96,CORREOS!$A$2:$B$570,2,FALSE)</f>
        <v>VHERRERA@ANTAYHOTELES.CL</v>
      </c>
      <c r="H96" s="24" t="str">
        <f>VLOOKUP(A96,'Informe 2025'!$A$5:$C$164,3,FALSE)</f>
        <v>Cata de Vinos</v>
      </c>
      <c r="I96">
        <f>VLOOKUP(H96,'Informe 2025'!$C$6:$M$166,11,FALSE)</f>
        <v>1.5</v>
      </c>
    </row>
    <row r="97" spans="1:9" x14ac:dyDescent="0.25">
      <c r="A97" s="2">
        <v>9</v>
      </c>
      <c r="B97" t="str">
        <f>VLOOKUP(A97,'Informe 2025'!$1:$1048576,2,FALSE)</f>
        <v>MARZO</v>
      </c>
      <c r="C97" s="26" t="s">
        <v>349</v>
      </c>
      <c r="D97" s="20" t="str">
        <f>VLOOKUP(C97,ID!$1:$1048576,4,FALSE)</f>
        <v>101666</v>
      </c>
      <c r="E97" s="20" t="str">
        <f>VLOOKUP(C97,ID!$1:$1048576,3,FALSE)</f>
        <v xml:space="preserve"> VAITIARE FERNANDA</v>
      </c>
      <c r="F97" s="20" t="str">
        <f>VLOOKUP(C97,ID!$1:$1048576,2,FALSE)</f>
        <v>FUENTES BORQUEZ</v>
      </c>
      <c r="G97" s="2" t="str">
        <f>VLOOKUP(D97,CORREOS!$A$2:$B$570,2,FALSE)</f>
        <v>VAITIAREFERNANDA.FUENTES@CL.LUCKIA.COM</v>
      </c>
      <c r="H97" s="24" t="str">
        <f>VLOOKUP(A97,'Informe 2025'!$A$5:$C$164,3,FALSE)</f>
        <v>Cata de Vinos</v>
      </c>
      <c r="I97">
        <f>VLOOKUP(H97,'Informe 2025'!$C$6:$M$166,11,FALSE)</f>
        <v>1.5</v>
      </c>
    </row>
    <row r="98" spans="1:9" x14ac:dyDescent="0.25">
      <c r="A98" s="2">
        <v>9</v>
      </c>
      <c r="B98" t="str">
        <f>VLOOKUP(A98,'Informe 2025'!$1:$1048576,2,FALSE)</f>
        <v>MARZO</v>
      </c>
      <c r="C98" s="25" t="s">
        <v>487</v>
      </c>
      <c r="D98" s="20" t="str">
        <f>VLOOKUP(C98,ID!$1:$1048576,4,FALSE)</f>
        <v>101978</v>
      </c>
      <c r="E98" s="20" t="str">
        <f>VLOOKUP(C98,ID!$1:$1048576,3,FALSE)</f>
        <v xml:space="preserve"> ARANTZA DOMINIQUE FIONA</v>
      </c>
      <c r="F98" s="20" t="str">
        <f>VLOOKUP(C98,ID!$1:$1048576,2,FALSE)</f>
        <v>ROJAS CALLEJAS</v>
      </c>
      <c r="G98" s="2" t="str">
        <f>VLOOKUP(D98,CORREOS!$A$2:$B$570,2,FALSE)</f>
        <v>ARCALLEJAS@ANTAYHOTELES.CL</v>
      </c>
      <c r="H98" s="24" t="str">
        <f>VLOOKUP(A98,'Informe 2025'!$A$5:$C$164,3,FALSE)</f>
        <v>Cata de Vinos</v>
      </c>
      <c r="I98">
        <f>VLOOKUP(H98,'Informe 2025'!$C$6:$M$166,11,FALSE)</f>
        <v>1.5</v>
      </c>
    </row>
    <row r="99" spans="1:9" x14ac:dyDescent="0.25">
      <c r="A99" s="2">
        <v>9</v>
      </c>
      <c r="B99" t="str">
        <f>VLOOKUP(A99,'Informe 2025'!$1:$1048576,2,FALSE)</f>
        <v>MARZO</v>
      </c>
      <c r="C99" s="25" t="s">
        <v>1633</v>
      </c>
      <c r="D99" s="20" t="str">
        <f>VLOOKUP(C99,ID!$1:$1048576,4,FALSE)</f>
        <v>103483</v>
      </c>
      <c r="E99" s="20" t="str">
        <f>VLOOKUP(C99,ID!$1:$1048576,3,FALSE)</f>
        <v xml:space="preserve"> GIOVANNY JEFFRY</v>
      </c>
      <c r="F99" s="20" t="str">
        <f>VLOOKUP(C99,ID!$1:$1048576,2,FALSE)</f>
        <v>BASAEZ PINTO</v>
      </c>
      <c r="G99" s="2" t="str">
        <f>VLOOKUP(D99,CORREOS!$A$2:$B$570,2,FALSE)</f>
        <v>GBASAEZ@antayhoteles.cl</v>
      </c>
      <c r="H99" s="24" t="str">
        <f>VLOOKUP(A99,'Informe 2025'!$A$5:$C$164,3,FALSE)</f>
        <v>Cata de Vinos</v>
      </c>
      <c r="I99">
        <f>VLOOKUP(H99,'Informe 2025'!$C$6:$M$166,11,FALSE)</f>
        <v>1.5</v>
      </c>
    </row>
    <row r="100" spans="1:9" x14ac:dyDescent="0.25">
      <c r="A100" s="2">
        <v>9</v>
      </c>
      <c r="B100" t="str">
        <f>VLOOKUP(A100,'Informe 2025'!$1:$1048576,2,FALSE)</f>
        <v>MARZO</v>
      </c>
      <c r="C100" s="25" t="s">
        <v>1816</v>
      </c>
      <c r="D100" s="20" t="str">
        <f>VLOOKUP(C100,ID!$1:$1048576,4,FALSE)</f>
        <v>101731</v>
      </c>
      <c r="E100" s="20" t="str">
        <f>VLOOKUP(C100,ID!$1:$1048576,3,FALSE)</f>
        <v xml:space="preserve"> JAVIERA BEATRIZ</v>
      </c>
      <c r="F100" s="20" t="str">
        <f>VLOOKUP(C100,ID!$1:$1048576,2,FALSE)</f>
        <v>GODOY URRA</v>
      </c>
      <c r="G100" s="2" t="str">
        <f>VLOOKUP(D100,CORREOS!$A$2:$B$570,2,FALSE)</f>
        <v>JGODOY@ANTAYHOTELES.CL</v>
      </c>
      <c r="H100" s="24" t="str">
        <f>VLOOKUP(A100,'Informe 2025'!$A$5:$C$164,3,FALSE)</f>
        <v>Cata de Vinos</v>
      </c>
      <c r="I100">
        <f>VLOOKUP(H100,'Informe 2025'!$C$6:$M$166,11,FALSE)</f>
        <v>1.5</v>
      </c>
    </row>
    <row r="101" spans="1:9" x14ac:dyDescent="0.25">
      <c r="A101" s="2">
        <v>9</v>
      </c>
      <c r="B101" t="str">
        <f>VLOOKUP(A101,'Informe 2025'!$1:$1048576,2,FALSE)</f>
        <v>MARZO</v>
      </c>
      <c r="C101" s="25" t="s">
        <v>278</v>
      </c>
      <c r="D101" s="20" t="str">
        <f>VLOOKUP(C101,ID!$1:$1048576,4,FALSE)</f>
        <v>103050</v>
      </c>
      <c r="E101" s="20" t="str">
        <f>VLOOKUP(C101,ID!$1:$1048576,3,FALSE)</f>
        <v xml:space="preserve"> JANA</v>
      </c>
      <c r="F101" s="20" t="str">
        <f>VLOOKUP(C101,ID!$1:$1048576,2,FALSE)</f>
        <v>BARRASCH</v>
      </c>
      <c r="G101" s="2" t="str">
        <f>VLOOKUP(D101,CORREOS!$A$2:$B$570,2,FALSE)</f>
        <v>JBARRASCH@ANTAYHOTELES.CL</v>
      </c>
      <c r="H101" s="24" t="str">
        <f>VLOOKUP(A101,'Informe 2025'!$A$5:$C$164,3,FALSE)</f>
        <v>Cata de Vinos</v>
      </c>
      <c r="I101">
        <f>VLOOKUP(H101,'Informe 2025'!$C$6:$M$166,11,FALSE)</f>
        <v>1.5</v>
      </c>
    </row>
    <row r="102" spans="1:9" x14ac:dyDescent="0.25">
      <c r="A102" s="2">
        <v>9</v>
      </c>
      <c r="B102" t="str">
        <f>VLOOKUP(A102,'Informe 2025'!$1:$1048576,2,FALSE)</f>
        <v>MARZO</v>
      </c>
      <c r="C102" s="25" t="s">
        <v>514</v>
      </c>
      <c r="D102" s="20" t="str">
        <f>VLOOKUP(C102,ID!$1:$1048576,4,FALSE)</f>
        <v>101104</v>
      </c>
      <c r="E102" s="20" t="str">
        <f>VLOOKUP(C102,ID!$1:$1048576,3,FALSE)</f>
        <v xml:space="preserve"> LEANDRO CARLOS</v>
      </c>
      <c r="F102" s="20" t="str">
        <f>VLOOKUP(C102,ID!$1:$1048576,2,FALSE)</f>
        <v>TORRES SALAS</v>
      </c>
      <c r="G102" s="2" t="str">
        <f>VLOOKUP(D102,CORREOS!$A$2:$B$570,2,FALSE)</f>
        <v>LEANDROCARLOS.TORRES@ANTAYHOTELES.CL</v>
      </c>
      <c r="H102" s="24" t="str">
        <f>VLOOKUP(A102,'Informe 2025'!$A$5:$C$164,3,FALSE)</f>
        <v>Cata de Vinos</v>
      </c>
      <c r="I102">
        <f>VLOOKUP(H102,'Informe 2025'!$C$6:$M$166,11,FALSE)</f>
        <v>1.5</v>
      </c>
    </row>
    <row r="103" spans="1:9" x14ac:dyDescent="0.25">
      <c r="A103" s="2">
        <v>9</v>
      </c>
      <c r="B103" t="str">
        <f>VLOOKUP(A103,'Informe 2025'!$1:$1048576,2,FALSE)</f>
        <v>MARZO</v>
      </c>
      <c r="C103" s="25" t="s">
        <v>1817</v>
      </c>
      <c r="D103" s="20" t="str">
        <f>VLOOKUP(C103,ID!$1:$1048576,4,FALSE)</f>
        <v>103853</v>
      </c>
      <c r="E103" s="20" t="str">
        <f>VLOOKUP(C103,ID!$1:$1048576,3,FALSE)</f>
        <v xml:space="preserve"> JUAN LUIS</v>
      </c>
      <c r="F103" s="20" t="str">
        <f>VLOOKUP(C103,ID!$1:$1048576,2,FALSE)</f>
        <v>CASTILLO NAVARRETE</v>
      </c>
      <c r="G103" s="2" t="str">
        <f>VLOOKUP(D103,CORREOS!$A$2:$B$570,2,FALSE)</f>
        <v>jcnavarrete@cl.luckia.com</v>
      </c>
      <c r="H103" s="24" t="str">
        <f>VLOOKUP(A103,'Informe 2025'!$A$5:$C$164,3,FALSE)</f>
        <v>Cata de Vinos</v>
      </c>
      <c r="I103">
        <f>VLOOKUP(H103,'Informe 2025'!$C$6:$M$166,11,FALSE)</f>
        <v>1.5</v>
      </c>
    </row>
    <row r="104" spans="1:9" x14ac:dyDescent="0.25">
      <c r="A104" s="2">
        <v>9</v>
      </c>
      <c r="B104" t="str">
        <f>VLOOKUP(A104,'Informe 2025'!$1:$1048576,2,FALSE)</f>
        <v>MARZO</v>
      </c>
      <c r="C104" s="25" t="s">
        <v>501</v>
      </c>
      <c r="D104" s="20" t="str">
        <f>VLOOKUP(C104,ID!$1:$1048576,4,FALSE)</f>
        <v>103318</v>
      </c>
      <c r="E104" s="20" t="str">
        <f>VLOOKUP(C104,ID!$1:$1048576,3,FALSE)</f>
        <v xml:space="preserve"> MATIAS IGNACIO</v>
      </c>
      <c r="F104" s="20" t="str">
        <f>VLOOKUP(C104,ID!$1:$1048576,2,FALSE)</f>
        <v>SARTORI REYES</v>
      </c>
      <c r="G104" s="2" t="str">
        <f>VLOOKUP(D104,CORREOS!$A$2:$B$570,2,FALSE)</f>
        <v>MSARTORI@CL.LUCKIA.COM</v>
      </c>
      <c r="H104" s="24" t="str">
        <f>VLOOKUP(A104,'Informe 2025'!$A$5:$C$164,3,FALSE)</f>
        <v>Cata de Vinos</v>
      </c>
      <c r="I104">
        <f>VLOOKUP(H104,'Informe 2025'!$C$6:$M$166,11,FALSE)</f>
        <v>1.5</v>
      </c>
    </row>
    <row r="105" spans="1:9" x14ac:dyDescent="0.25">
      <c r="A105" s="2">
        <v>9</v>
      </c>
      <c r="B105" t="str">
        <f>VLOOKUP(A105,'Informe 2025'!$1:$1048576,2,FALSE)</f>
        <v>MARZO</v>
      </c>
      <c r="C105" s="25" t="s">
        <v>507</v>
      </c>
      <c r="D105" s="20" t="str">
        <f>VLOOKUP(C105,ID!$1:$1048576,4,FALSE)</f>
        <v>101892</v>
      </c>
      <c r="E105" s="20" t="str">
        <f>VLOOKUP(C105,ID!$1:$1048576,3,FALSE)</f>
        <v xml:space="preserve"> ALEJANDRO LUIS</v>
      </c>
      <c r="F105" s="20" t="str">
        <f>VLOOKUP(C105,ID!$1:$1048576,2,FALSE)</f>
        <v>SOLIS AGUIRRE</v>
      </c>
      <c r="G105" s="2" t="str">
        <f>VLOOKUP(D105,CORREOS!$A$2:$B$570,2,FALSE)</f>
        <v>ASOLIS@ANTAYHOTELES.CL</v>
      </c>
      <c r="H105" s="24" t="str">
        <f>VLOOKUP(A105,'Informe 2025'!$A$5:$C$164,3,FALSE)</f>
        <v>Cata de Vinos</v>
      </c>
      <c r="I105">
        <f>VLOOKUP(H105,'Informe 2025'!$C$6:$M$166,11,FALSE)</f>
        <v>1.5</v>
      </c>
    </row>
    <row r="106" spans="1:9" x14ac:dyDescent="0.25">
      <c r="A106" s="2">
        <v>10</v>
      </c>
      <c r="B106" t="str">
        <f>VLOOKUP(A106,'Informe 2025'!$1:$1048576,2,FALSE)</f>
        <v>ABRIL</v>
      </c>
      <c r="D106" s="20" t="e">
        <f>VLOOKUP(C106,ID!$1:$1048576,4,FALSE)</f>
        <v>#N/A</v>
      </c>
      <c r="E106" s="20" t="e">
        <f>VLOOKUP(C106,ID!$1:$1048576,3,FALSE)</f>
        <v>#N/A</v>
      </c>
      <c r="F106" s="20" t="e">
        <f>VLOOKUP(C106,ID!$1:$1048576,2,FALSE)</f>
        <v>#N/A</v>
      </c>
      <c r="G106" s="2" t="e">
        <f>VLOOKUP(D106,CORREOS!$A$2:$B$570,2,FALSE)</f>
        <v>#N/A</v>
      </c>
      <c r="H106" s="24" t="str">
        <f>VLOOKUP(A106,'Informe 2025'!$A$5:$C$164,3,FALSE)</f>
        <v>Escuela CCTV</v>
      </c>
      <c r="I106">
        <f>VLOOKUP(H106,'Informe 2025'!$C$6:$M$166,11,FALSE)</f>
        <v>80</v>
      </c>
    </row>
    <row r="107" spans="1:9" x14ac:dyDescent="0.25">
      <c r="A107" s="2">
        <v>10</v>
      </c>
      <c r="B107" t="str">
        <f>VLOOKUP(A107,'Informe 2025'!$1:$1048576,2,FALSE)</f>
        <v>ABRIL</v>
      </c>
      <c r="D107" s="20" t="e">
        <f>VLOOKUP(C107,ID!$1:$1048576,4,FALSE)</f>
        <v>#N/A</v>
      </c>
      <c r="E107" s="20" t="e">
        <f>VLOOKUP(C107,ID!$1:$1048576,3,FALSE)</f>
        <v>#N/A</v>
      </c>
      <c r="F107" s="20" t="e">
        <f>VLOOKUP(C107,ID!$1:$1048576,2,FALSE)</f>
        <v>#N/A</v>
      </c>
      <c r="G107" s="2" t="e">
        <f>VLOOKUP(D107,CORREOS!$A$2:$B$570,2,FALSE)</f>
        <v>#N/A</v>
      </c>
      <c r="H107" s="24" t="str">
        <f>VLOOKUP(A107,'Informe 2025'!$A$5:$C$164,3,FALSE)</f>
        <v>Escuela CCTV</v>
      </c>
      <c r="I107">
        <f>VLOOKUP(H107,'Informe 2025'!$C$6:$M$166,11,FALSE)</f>
        <v>80</v>
      </c>
    </row>
    <row r="108" spans="1:9" x14ac:dyDescent="0.25">
      <c r="A108" s="2">
        <v>10</v>
      </c>
      <c r="B108" t="str">
        <f>VLOOKUP(A108,'Informe 2025'!$1:$1048576,2,FALSE)</f>
        <v>ABRIL</v>
      </c>
      <c r="D108" s="20" t="e">
        <f>VLOOKUP(C108,ID!$1:$1048576,4,FALSE)</f>
        <v>#N/A</v>
      </c>
      <c r="E108" s="20" t="e">
        <f>VLOOKUP(C108,ID!$1:$1048576,3,FALSE)</f>
        <v>#N/A</v>
      </c>
      <c r="F108" s="20" t="e">
        <f>VLOOKUP(C108,ID!$1:$1048576,2,FALSE)</f>
        <v>#N/A</v>
      </c>
      <c r="G108" s="2" t="e">
        <f>VLOOKUP(D108,CORREOS!$A$2:$B$570,2,FALSE)</f>
        <v>#N/A</v>
      </c>
      <c r="H108" s="24" t="str">
        <f>VLOOKUP(A108,'Informe 2025'!$A$5:$C$164,3,FALSE)</f>
        <v>Escuela CCTV</v>
      </c>
      <c r="I108">
        <f>VLOOKUP(H108,'Informe 2025'!$C$6:$M$166,11,FALSE)</f>
        <v>80</v>
      </c>
    </row>
    <row r="109" spans="1:9" x14ac:dyDescent="0.25">
      <c r="A109" s="2">
        <v>11</v>
      </c>
      <c r="B109" t="str">
        <f>VLOOKUP(A109,'Informe 2025'!$1:$1048576,2,FALSE)</f>
        <v>ABRIL</v>
      </c>
      <c r="C109" s="25" t="s">
        <v>1632</v>
      </c>
      <c r="D109" s="20" t="str">
        <f>VLOOKUP(C109,ID!$1:$1048576,4,FALSE)</f>
        <v>103252</v>
      </c>
      <c r="E109" s="20" t="str">
        <f>VLOOKUP(C109,ID!$1:$1048576,3,FALSE)</f>
        <v xml:space="preserve"> DIEGO ADRIAN</v>
      </c>
      <c r="F109" s="20" t="str">
        <f>VLOOKUP(C109,ID!$1:$1048576,2,FALSE)</f>
        <v>BARREAU FLORES</v>
      </c>
      <c r="G109" s="2" t="str">
        <f>VLOOKUP(D109,CORREOS!$A$2:$B$570,2,FALSE)</f>
        <v>DBARREAU@antayhoteles.cl</v>
      </c>
      <c r="H109" s="24" t="str">
        <f>VLOOKUP(A109,'Informe 2025'!$A$5:$C$164,3,FALSE)</f>
        <v>Formación AA&amp;BB</v>
      </c>
      <c r="I109">
        <f>VLOOKUP(H109,'Informe 2025'!$C$6:$M$166,11,FALSE)</f>
        <v>2</v>
      </c>
    </row>
    <row r="110" spans="1:9" x14ac:dyDescent="0.25">
      <c r="A110" s="2">
        <v>11</v>
      </c>
      <c r="B110" t="str">
        <f>VLOOKUP(A110,'Informe 2025'!$1:$1048576,2,FALSE)</f>
        <v>ABRIL</v>
      </c>
      <c r="C110" s="25" t="s">
        <v>267</v>
      </c>
      <c r="D110" s="20" t="str">
        <f>VLOOKUP(C110,ID!$1:$1048576,4,FALSE)</f>
        <v>103457</v>
      </c>
      <c r="E110" s="20" t="str">
        <f>VLOOKUP(C110,ID!$1:$1048576,3,FALSE)</f>
        <v xml:space="preserve"> MARCELO ORLANDO</v>
      </c>
      <c r="F110" s="20" t="str">
        <f>VLOOKUP(C110,ID!$1:$1048576,2,FALSE)</f>
        <v>ARELLANO TARQUI</v>
      </c>
      <c r="G110" s="2" t="str">
        <f>VLOOKUP(D110,CORREOS!$A$2:$B$570,2,FALSE)</f>
        <v>MARELLANO@ANTAYHOTELES.CL</v>
      </c>
      <c r="H110" s="24" t="str">
        <f>VLOOKUP(A110,'Informe 2025'!$A$5:$C$164,3,FALSE)</f>
        <v>Formación AA&amp;BB</v>
      </c>
      <c r="I110">
        <f>VLOOKUP(H110,'Informe 2025'!$C$6:$M$166,11,FALSE)</f>
        <v>2</v>
      </c>
    </row>
    <row r="111" spans="1:9" x14ac:dyDescent="0.25">
      <c r="A111" s="2">
        <v>11</v>
      </c>
      <c r="B111" t="str">
        <f>VLOOKUP(A111,'Informe 2025'!$1:$1048576,2,FALSE)</f>
        <v>ABRIL</v>
      </c>
      <c r="C111" t="s">
        <v>1629</v>
      </c>
      <c r="D111" s="20" t="str">
        <f>VLOOKUP(C111,ID!$1:$1048576,4,FALSE)</f>
        <v>103189</v>
      </c>
      <c r="E111" s="20" t="str">
        <f>VLOOKUP(C111,ID!$1:$1048576,3,FALSE)</f>
        <v xml:space="preserve"> ISIDORA MONSERRATH</v>
      </c>
      <c r="F111" s="20" t="str">
        <f>VLOOKUP(C111,ID!$1:$1048576,2,FALSE)</f>
        <v>ASCENCIO MARTINEZ</v>
      </c>
      <c r="G111" s="2" t="str">
        <f>VLOOKUP(D111,CORREOS!$A$2:$B$570,2,FALSE)</f>
        <v>IASCENCIO@ANTAYHOTELES.CL</v>
      </c>
      <c r="H111" s="24" t="str">
        <f>VLOOKUP(A111,'Informe 2025'!$A$5:$C$164,3,FALSE)</f>
        <v>Formación AA&amp;BB</v>
      </c>
      <c r="I111">
        <f>VLOOKUP(H111,'Informe 2025'!$C$6:$M$166,11,FALSE)</f>
        <v>2</v>
      </c>
    </row>
    <row r="112" spans="1:9" x14ac:dyDescent="0.25">
      <c r="A112" s="2">
        <v>11</v>
      </c>
      <c r="B112" t="str">
        <f>VLOOKUP(A112,'Informe 2025'!$1:$1048576,2,FALSE)</f>
        <v>ABRIL</v>
      </c>
      <c r="C112" t="s">
        <v>1815</v>
      </c>
      <c r="D112" s="20" t="str">
        <f>VLOOKUP(C112,ID!$1:$1048576,4,FALSE)</f>
        <v>104068</v>
      </c>
      <c r="E112" s="20" t="str">
        <f>VLOOKUP(C112,ID!$1:$1048576,3,FALSE)</f>
        <v xml:space="preserve"> BRANDON NICOLAS</v>
      </c>
      <c r="F112" s="20" t="str">
        <f>VLOOKUP(C112,ID!$1:$1048576,2,FALSE)</f>
        <v>GOMEZ LOBOS</v>
      </c>
      <c r="G112" s="2" t="str">
        <f>VLOOKUP(D112,CORREOS!$A$2:$B$570,2,FALSE)</f>
        <v>BGLOBOS@ANTAYHOTELES.CL</v>
      </c>
      <c r="H112" s="24" t="str">
        <f>VLOOKUP(A112,'Informe 2025'!$A$5:$C$164,3,FALSE)</f>
        <v>Formación AA&amp;BB</v>
      </c>
      <c r="I112">
        <f>VLOOKUP(H112,'Informe 2025'!$C$6:$M$166,11,FALSE)</f>
        <v>2</v>
      </c>
    </row>
    <row r="113" spans="1:9" x14ac:dyDescent="0.25">
      <c r="A113" s="2">
        <v>11</v>
      </c>
      <c r="B113" t="str">
        <f>VLOOKUP(A113,'Informe 2025'!$1:$1048576,2,FALSE)</f>
        <v>ABRIL</v>
      </c>
      <c r="C113" t="s">
        <v>1851</v>
      </c>
      <c r="D113" s="20" t="str">
        <f>VLOOKUP(C113,ID!$1:$1048576,4,FALSE)</f>
        <v>103895</v>
      </c>
      <c r="E113" s="20" t="str">
        <f>VLOOKUP(C113,ID!$1:$1048576,3,FALSE)</f>
        <v xml:space="preserve"> VICENTE ALONSO</v>
      </c>
      <c r="F113" s="20" t="str">
        <f>VLOOKUP(C113,ID!$1:$1048576,2,FALSE)</f>
        <v>ZUMARAN JORQUERA</v>
      </c>
      <c r="G113" s="2" t="str">
        <f>VLOOKUP(D113,CORREOS!$A$2:$B$570,2,FALSE)</f>
        <v>VZUMARAN@ANTAYHOTELES.CL</v>
      </c>
      <c r="H113" s="24" t="str">
        <f>VLOOKUP(A113,'Informe 2025'!$A$5:$C$164,3,FALSE)</f>
        <v>Formación AA&amp;BB</v>
      </c>
      <c r="I113">
        <f>VLOOKUP(H113,'Informe 2025'!$C$6:$M$166,11,FALSE)</f>
        <v>2</v>
      </c>
    </row>
    <row r="114" spans="1:9" x14ac:dyDescent="0.25">
      <c r="A114" s="2">
        <v>12</v>
      </c>
      <c r="B114" t="str">
        <f>VLOOKUP(A114,'Informe 2025'!$1:$1048576,2,FALSE)</f>
        <v>ABRIL</v>
      </c>
      <c r="C114" t="s">
        <v>314</v>
      </c>
      <c r="D114" s="20" t="str">
        <f>VLOOKUP(C114,ID!$1:$1048576,4,FALSE)</f>
        <v>102849</v>
      </c>
      <c r="E114" s="20" t="str">
        <f>VLOOKUP(C114,ID!$1:$1048576,3,FALSE)</f>
        <v xml:space="preserve"> CRISTOBAL HUMBERTO</v>
      </c>
      <c r="F114" s="20" t="str">
        <f>VLOOKUP(C114,ID!$1:$1048576,2,FALSE)</f>
        <v>CONDORI CARVAJAL</v>
      </c>
      <c r="G114" s="2" t="str">
        <f>VLOOKUP(D114,CORREOS!$A$2:$B$570,2,FALSE)</f>
        <v>CCONDORI@ANTAYHOTELES.CL</v>
      </c>
      <c r="H114" s="24" t="str">
        <f>VLOOKUP(A114,'Informe 2025'!$A$5:$C$164,3,FALSE)</f>
        <v>Tutor "capcula de seguridad"</v>
      </c>
      <c r="I114">
        <f>VLOOKUP(H114,'Informe 2025'!$C$6:$M$166,11,FALSE)</f>
        <v>2</v>
      </c>
    </row>
    <row r="115" spans="1:9" x14ac:dyDescent="0.25">
      <c r="A115" s="2">
        <v>12</v>
      </c>
      <c r="B115" t="str">
        <f>VLOOKUP(A115,'Informe 2025'!$1:$1048576,2,FALSE)</f>
        <v>ABRIL</v>
      </c>
      <c r="C115" t="s">
        <v>372</v>
      </c>
      <c r="D115" s="20" t="str">
        <f>VLOOKUP(C115,ID!$1:$1048576,4,FALSE)</f>
        <v>103010</v>
      </c>
      <c r="E115" s="20" t="str">
        <f>VLOOKUP(C115,ID!$1:$1048576,3,FALSE)</f>
        <v xml:space="preserve"> FERNANDO</v>
      </c>
      <c r="F115" s="20" t="str">
        <f>VLOOKUP(C115,ID!$1:$1048576,2,FALSE)</f>
        <v>GONZALEZ OROZCO</v>
      </c>
      <c r="G115" s="2" t="str">
        <f>VLOOKUP(D115,CORREOS!$A$2:$B$570,2,FALSE)</f>
        <v>FGOROZCO@ANTAYHOTELES.CL</v>
      </c>
      <c r="H115" s="24" t="str">
        <f>VLOOKUP(A115,'Informe 2025'!$A$5:$C$164,3,FALSE)</f>
        <v>Tutor "capcula de seguridad"</v>
      </c>
      <c r="I115">
        <f>VLOOKUP(H115,'Informe 2025'!$C$6:$M$166,11,FALSE)</f>
        <v>2</v>
      </c>
    </row>
    <row r="116" spans="1:9" x14ac:dyDescent="0.25">
      <c r="A116" s="2">
        <v>12</v>
      </c>
      <c r="B116" t="str">
        <f>VLOOKUP(A116,'Informe 2025'!$1:$1048576,2,FALSE)</f>
        <v>ABRIL</v>
      </c>
      <c r="C116" t="s">
        <v>283</v>
      </c>
      <c r="D116" s="20" t="str">
        <f>VLOOKUP(C116,ID!$1:$1048576,4,FALSE)</f>
        <v>102996</v>
      </c>
      <c r="E116" s="20" t="str">
        <f>VLOOKUP(C116,ID!$1:$1048576,3,FALSE)</f>
        <v xml:space="preserve"> CATALINA VICTORIA</v>
      </c>
      <c r="F116" s="20" t="str">
        <f>VLOOKUP(C116,ID!$1:$1048576,2,FALSE)</f>
        <v>CABEZAS MENA</v>
      </c>
      <c r="G116" s="2" t="str">
        <f>VLOOKUP(D116,CORREOS!$A$2:$B$570,2,FALSE)</f>
        <v>CCABEZAS@ANTAYHOTELES.CL</v>
      </c>
      <c r="H116" s="24" t="str">
        <f>VLOOKUP(A116,'Informe 2025'!$A$5:$C$164,3,FALSE)</f>
        <v>Tutor "capcula de seguridad"</v>
      </c>
      <c r="I116">
        <f>VLOOKUP(H116,'Informe 2025'!$C$6:$M$166,11,FALSE)</f>
        <v>2</v>
      </c>
    </row>
    <row r="117" spans="1:9" x14ac:dyDescent="0.25">
      <c r="A117" s="2">
        <v>12</v>
      </c>
      <c r="B117" t="str">
        <f>VLOOKUP(A117,'Informe 2025'!$1:$1048576,2,FALSE)</f>
        <v>ABRIL</v>
      </c>
      <c r="C117" t="s">
        <v>316</v>
      </c>
      <c r="D117" s="20" t="str">
        <f>VLOOKUP(C117,ID!$1:$1048576,4,FALSE)</f>
        <v>102795</v>
      </c>
      <c r="E117" s="20" t="str">
        <f>VLOOKUP(C117,ID!$1:$1048576,3,FALSE)</f>
        <v xml:space="preserve"> CATALINA FRANCISCA</v>
      </c>
      <c r="F117" s="20" t="str">
        <f>VLOOKUP(C117,ID!$1:$1048576,2,FALSE)</f>
        <v>CONTRERAS GONZALEZ</v>
      </c>
      <c r="G117" s="2" t="str">
        <f>VLOOKUP(D117,CORREOS!$A$2:$B$570,2,FALSE)</f>
        <v>CCGONZALEZ@ANTAYHOTELES.CL</v>
      </c>
      <c r="H117" s="24" t="str">
        <f>VLOOKUP(A117,'Informe 2025'!$A$5:$C$164,3,FALSE)</f>
        <v>Tutor "capcula de seguridad"</v>
      </c>
      <c r="I117">
        <f>VLOOKUP(H117,'Informe 2025'!$C$6:$M$166,11,FALSE)</f>
        <v>2</v>
      </c>
    </row>
    <row r="118" spans="1:9" x14ac:dyDescent="0.25">
      <c r="A118" s="2">
        <v>12</v>
      </c>
      <c r="B118" t="str">
        <f>VLOOKUP(A118,'Informe 2025'!$1:$1048576,2,FALSE)</f>
        <v>ABRIL</v>
      </c>
      <c r="C118" t="s">
        <v>303</v>
      </c>
      <c r="D118" s="20" t="str">
        <f>VLOOKUP(C118,ID!$1:$1048576,4,FALSE)</f>
        <v>102829</v>
      </c>
      <c r="E118" s="20" t="str">
        <f>VLOOKUP(C118,ID!$1:$1048576,3,FALSE)</f>
        <v xml:space="preserve"> WILSON DENNIS</v>
      </c>
      <c r="F118" s="20" t="str">
        <f>VLOOKUP(C118,ID!$1:$1048576,2,FALSE)</f>
        <v>CASTILLO PEREZ</v>
      </c>
      <c r="G118" s="2" t="str">
        <f>VLOOKUP(D118,CORREOS!$A$2:$B$570,2,FALSE)</f>
        <v>WCASTILLO@CL.LUCKIA.COM</v>
      </c>
      <c r="H118" s="24" t="str">
        <f>VLOOKUP(A118,'Informe 2025'!$A$5:$C$164,3,FALSE)</f>
        <v>Tutor "capcula de seguridad"</v>
      </c>
      <c r="I118">
        <f>VLOOKUP(H118,'Informe 2025'!$C$6:$M$166,11,FALSE)</f>
        <v>2</v>
      </c>
    </row>
    <row r="119" spans="1:9" x14ac:dyDescent="0.25">
      <c r="A119" s="2">
        <v>12</v>
      </c>
      <c r="B119" t="str">
        <f>VLOOKUP(A119,'Informe 2025'!$1:$1048576,2,FALSE)</f>
        <v>ABRIL</v>
      </c>
      <c r="C119" t="s">
        <v>534</v>
      </c>
      <c r="D119" s="20" t="str">
        <f>VLOOKUP(C119,ID!$1:$1048576,4,FALSE)</f>
        <v>102292</v>
      </c>
      <c r="E119" s="20" t="str">
        <f>VLOOKUP(C119,ID!$1:$1048576,3,FALSE)</f>
        <v xml:space="preserve"> ESKARLETT YUBINZA</v>
      </c>
      <c r="F119" s="20" t="str">
        <f>VLOOKUP(C119,ID!$1:$1048576,2,FALSE)</f>
        <v>ZULETA COLQUE</v>
      </c>
      <c r="G119" s="2" t="str">
        <f>VLOOKUP(D119,CORREOS!$A$2:$B$570,2,FALSE)</f>
        <v>EZCOLQUE@CL.LUCKIA.COM</v>
      </c>
      <c r="H119" s="24" t="str">
        <f>VLOOKUP(A119,'Informe 2025'!$A$5:$C$164,3,FALSE)</f>
        <v>Tutor "capcula de seguridad"</v>
      </c>
      <c r="I119">
        <f>VLOOKUP(H119,'Informe 2025'!$C$6:$M$166,11,FALSE)</f>
        <v>2</v>
      </c>
    </row>
    <row r="120" spans="1:9" x14ac:dyDescent="0.25">
      <c r="A120" s="2">
        <v>12</v>
      </c>
      <c r="B120" t="str">
        <f>VLOOKUP(A120,'Informe 2025'!$1:$1048576,2,FALSE)</f>
        <v>ABRIL</v>
      </c>
      <c r="C120" t="s">
        <v>271</v>
      </c>
      <c r="D120" s="20" t="str">
        <f>VLOOKUP(C120,ID!$1:$1048576,4,FALSE)</f>
        <v>102903</v>
      </c>
      <c r="E120" s="20" t="str">
        <f>VLOOKUP(C120,ID!$1:$1048576,3,FALSE)</f>
        <v xml:space="preserve"> KEVIN MARCELO</v>
      </c>
      <c r="F120" s="20" t="str">
        <f>VLOOKUP(C120,ID!$1:$1048576,2,FALSE)</f>
        <v>AROS CASTRO</v>
      </c>
      <c r="G120" s="2" t="str">
        <f>VLOOKUP(D120,CORREOS!$A$2:$B$570,2,FALSE)</f>
        <v>KAROS@ANTAYHOTELES.CL</v>
      </c>
      <c r="H120" s="24" t="str">
        <f>VLOOKUP(A120,'Informe 2025'!$A$5:$C$164,3,FALSE)</f>
        <v>Tutor "capcula de seguridad"</v>
      </c>
      <c r="I120">
        <f>VLOOKUP(H120,'Informe 2025'!$C$6:$M$166,11,FALSE)</f>
        <v>2</v>
      </c>
    </row>
    <row r="121" spans="1:9" x14ac:dyDescent="0.25">
      <c r="A121" s="2">
        <v>12</v>
      </c>
      <c r="B121" t="str">
        <f>VLOOKUP(A121,'Informe 2025'!$1:$1048576,2,FALSE)</f>
        <v>ABRIL</v>
      </c>
      <c r="C121" t="s">
        <v>525</v>
      </c>
      <c r="D121" s="20" t="str">
        <f>VLOOKUP(C121,ID!$1:$1048576,4,FALSE)</f>
        <v>101821</v>
      </c>
      <c r="E121" s="20" t="str">
        <f>VLOOKUP(C121,ID!$1:$1048576,3,FALSE)</f>
        <v xml:space="preserve"> CLAUDIO SEBASTIAN CESAR</v>
      </c>
      <c r="F121" s="20" t="str">
        <f>VLOOKUP(C121,ID!$1:$1048576,2,FALSE)</f>
        <v>VELEZ MUÑOZ</v>
      </c>
      <c r="G121" s="2" t="str">
        <f>VLOOKUP(D121,CORREOS!$A$2:$B$570,2,FALSE)</f>
        <v>CVELEZ@CL.LUCKIA.COM</v>
      </c>
      <c r="H121" s="24" t="str">
        <f>VLOOKUP(A121,'Informe 2025'!$A$5:$C$164,3,FALSE)</f>
        <v>Tutor "capcula de seguridad"</v>
      </c>
      <c r="I121">
        <f>VLOOKUP(H121,'Informe 2025'!$C$6:$M$166,11,FALSE)</f>
        <v>2</v>
      </c>
    </row>
    <row r="122" spans="1:9" x14ac:dyDescent="0.25">
      <c r="A122" s="2">
        <v>12</v>
      </c>
      <c r="B122" t="str">
        <f>VLOOKUP(A122,'Informe 2025'!$1:$1048576,2,FALSE)</f>
        <v>ABRIL</v>
      </c>
      <c r="C122" t="s">
        <v>274</v>
      </c>
      <c r="D122" s="20" t="str">
        <f>VLOOKUP(C122,ID!$1:$1048576,4,FALSE)</f>
        <v>103084</v>
      </c>
      <c r="E122" s="20" t="str">
        <f>VLOOKUP(C122,ID!$1:$1048576,3,FALSE)</f>
        <v xml:space="preserve"> BASTIAN ANDRES</v>
      </c>
      <c r="F122" s="20" t="str">
        <f>VLOOKUP(C122,ID!$1:$1048576,2,FALSE)</f>
        <v>ARRIAGADA PALTA</v>
      </c>
      <c r="G122" s="2" t="str">
        <f>VLOOKUP(D122,CORREOS!$A$2:$B$570,2,FALSE)</f>
        <v>BARRIAGADA@ANTAYHOTELES.CL</v>
      </c>
      <c r="H122" s="24" t="str">
        <f>VLOOKUP(A122,'Informe 2025'!$A$5:$C$164,3,FALSE)</f>
        <v>Tutor "capcula de seguridad"</v>
      </c>
      <c r="I122">
        <f>VLOOKUP(H122,'Informe 2025'!$C$6:$M$166,11,FALSE)</f>
        <v>2</v>
      </c>
    </row>
    <row r="123" spans="1:9" x14ac:dyDescent="0.25">
      <c r="A123" s="2">
        <v>12</v>
      </c>
      <c r="B123" t="str">
        <f>VLOOKUP(A123,'Informe 2025'!$1:$1048576,2,FALSE)</f>
        <v>ABRIL</v>
      </c>
      <c r="C123" t="s">
        <v>395</v>
      </c>
      <c r="D123" s="20" t="str">
        <f>VLOOKUP(C123,ID!$1:$1048576,4,FALSE)</f>
        <v>102063</v>
      </c>
      <c r="E123" s="20" t="str">
        <f>VLOOKUP(C123,ID!$1:$1048576,3,FALSE)</f>
        <v xml:space="preserve"> MICHELLE ANNETTE</v>
      </c>
      <c r="F123" s="20" t="str">
        <f>VLOOKUP(C123,ID!$1:$1048576,2,FALSE)</f>
        <v>LEAL LEYTON</v>
      </c>
      <c r="G123" s="2" t="str">
        <f>VLOOKUP(D123,CORREOS!$A$2:$B$570,2,FALSE)</f>
        <v>MLEAL@CL.LUCKIA.COM</v>
      </c>
      <c r="H123" s="24" t="str">
        <f>VLOOKUP(A123,'Informe 2025'!$A$5:$C$164,3,FALSE)</f>
        <v>Tutor "capcula de seguridad"</v>
      </c>
      <c r="I123">
        <f>VLOOKUP(H123,'Informe 2025'!$C$6:$M$166,11,FALSE)</f>
        <v>2</v>
      </c>
    </row>
    <row r="124" spans="1:9" x14ac:dyDescent="0.25">
      <c r="A124" s="2">
        <v>12</v>
      </c>
      <c r="B124" t="str">
        <f>VLOOKUP(A124,'Informe 2025'!$1:$1048576,2,FALSE)</f>
        <v>ABRIL</v>
      </c>
      <c r="C124" t="s">
        <v>248</v>
      </c>
      <c r="D124" s="20" t="str">
        <f>VLOOKUP(C124,ID!$1:$1048576,4,FALSE)</f>
        <v>102546</v>
      </c>
      <c r="E124" s="20" t="str">
        <f>VLOOKUP(C124,ID!$1:$1048576,3,FALSE)</f>
        <v xml:space="preserve"> NICOLAS</v>
      </c>
      <c r="F124" s="20" t="str">
        <f>VLOOKUP(C124,ID!$1:$1048576,2,FALSE)</f>
        <v>ALARCON LAVIN</v>
      </c>
      <c r="G124" s="2" t="str">
        <f>VLOOKUP(D124,CORREOS!$A$2:$B$570,2,FALSE)</f>
        <v>NALARCON@ANTAYHOTELES.CL</v>
      </c>
      <c r="H124" s="24" t="str">
        <f>VLOOKUP(A124,'Informe 2025'!$A$5:$C$164,3,FALSE)</f>
        <v>Tutor "capcula de seguridad"</v>
      </c>
      <c r="I124">
        <f>VLOOKUP(H124,'Informe 2025'!$C$6:$M$166,11,FALSE)</f>
        <v>2</v>
      </c>
    </row>
    <row r="125" spans="1:9" x14ac:dyDescent="0.25">
      <c r="A125" s="2">
        <v>12</v>
      </c>
      <c r="B125" t="str">
        <f>VLOOKUP(A125,'Informe 2025'!$1:$1048576,2,FALSE)</f>
        <v>ABRIL</v>
      </c>
      <c r="C125" t="s">
        <v>390</v>
      </c>
      <c r="D125" s="20" t="str">
        <f>VLOOKUP(C125,ID!$1:$1048576,4,FALSE)</f>
        <v>102642</v>
      </c>
      <c r="E125" s="20" t="str">
        <f>VLOOKUP(C125,ID!$1:$1048576,3,FALSE)</f>
        <v xml:space="preserve"> JOSE LUIS</v>
      </c>
      <c r="F125" s="20" t="str">
        <f>VLOOKUP(C125,ID!$1:$1048576,2,FALSE)</f>
        <v>JIMENEZ VILLALOBOS</v>
      </c>
      <c r="G125" s="2" t="str">
        <f>VLOOKUP(D125,CORREOS!$A$2:$B$570,2,FALSE)</f>
        <v>JJVILLALOBOS@ANTAYHOTELES.CL</v>
      </c>
      <c r="H125" s="24" t="str">
        <f>VLOOKUP(A125,'Informe 2025'!$A$5:$C$164,3,FALSE)</f>
        <v>Tutor "capcula de seguridad"</v>
      </c>
      <c r="I125">
        <f>VLOOKUP(H125,'Informe 2025'!$C$6:$M$166,11,FALSE)</f>
        <v>2</v>
      </c>
    </row>
    <row r="126" spans="1:9" x14ac:dyDescent="0.25">
      <c r="A126" s="2">
        <v>12</v>
      </c>
      <c r="B126" t="str">
        <f>VLOOKUP(A126,'Informe 2025'!$1:$1048576,2,FALSE)</f>
        <v>ABRIL</v>
      </c>
      <c r="C126" t="s">
        <v>344</v>
      </c>
      <c r="D126" s="20" t="str">
        <f>VLOOKUP(C126,ID!$1:$1048576,4,FALSE)</f>
        <v>102787</v>
      </c>
      <c r="E126" s="20" t="str">
        <f>VLOOKUP(C126,ID!$1:$1048576,3,FALSE)</f>
        <v xml:space="preserve"> KARINA PATRICIA</v>
      </c>
      <c r="F126" s="20" t="str">
        <f>VLOOKUP(C126,ID!$1:$1048576,2,FALSE)</f>
        <v>FLORES MENDOZA</v>
      </c>
      <c r="G126" s="2" t="str">
        <f>VLOOKUP(D126,CORREOS!$A$2:$B$570,2,FALSE)</f>
        <v>KFMENDOZA@ANTAYHOTELES.CL</v>
      </c>
      <c r="H126" s="24" t="str">
        <f>VLOOKUP(A126,'Informe 2025'!$A$5:$C$164,3,FALSE)</f>
        <v>Tutor "capcula de seguridad"</v>
      </c>
      <c r="I126">
        <f>VLOOKUP(H126,'Informe 2025'!$C$6:$M$166,11,FALSE)</f>
        <v>2</v>
      </c>
    </row>
    <row r="127" spans="1:9" x14ac:dyDescent="0.25">
      <c r="A127" s="2">
        <v>12</v>
      </c>
      <c r="B127" t="str">
        <f>VLOOKUP(A127,'Informe 2025'!$1:$1048576,2,FALSE)</f>
        <v>ABRIL</v>
      </c>
      <c r="C127" t="s">
        <v>511</v>
      </c>
      <c r="D127" s="20" t="str">
        <f>VLOOKUP(C127,ID!$1:$1048576,4,FALSE)</f>
        <v>101536</v>
      </c>
      <c r="E127" s="20" t="str">
        <f>VLOOKUP(C127,ID!$1:$1048576,3,FALSE)</f>
        <v xml:space="preserve"> NICOLAS</v>
      </c>
      <c r="F127" s="20" t="str">
        <f>VLOOKUP(C127,ID!$1:$1048576,2,FALSE)</f>
        <v>TELLO BARREAU</v>
      </c>
      <c r="G127" s="2" t="str">
        <f>VLOOKUP(D127,CORREOS!$A$2:$B$570,2,FALSE)</f>
        <v>NICOLAS.TELLO@ANTAYHOTELES.CL</v>
      </c>
      <c r="H127" s="24" t="str">
        <f>VLOOKUP(A127,'Informe 2025'!$A$5:$C$164,3,FALSE)</f>
        <v>Tutor "capcula de seguridad"</v>
      </c>
      <c r="I127">
        <f>VLOOKUP(H127,'Informe 2025'!$C$6:$M$166,11,FALSE)</f>
        <v>2</v>
      </c>
    </row>
    <row r="128" spans="1:9" x14ac:dyDescent="0.25">
      <c r="A128" s="2">
        <v>12</v>
      </c>
      <c r="B128" t="str">
        <f>VLOOKUP(A128,'Informe 2025'!$1:$1048576,2,FALSE)</f>
        <v>ABRIL</v>
      </c>
      <c r="C128" t="s">
        <v>396</v>
      </c>
      <c r="D128" s="20" t="str">
        <f>VLOOKUP(C128,ID!$1:$1048576,4,FALSE)</f>
        <v>103277</v>
      </c>
      <c r="E128" s="20" t="str">
        <f>VLOOKUP(C128,ID!$1:$1048576,3,FALSE)</f>
        <v xml:space="preserve"> GUNNAR</v>
      </c>
      <c r="F128" s="20" t="str">
        <f>VLOOKUP(C128,ID!$1:$1048576,2,FALSE)</f>
        <v>LEYTON RODAS</v>
      </c>
      <c r="G128" s="2" t="str">
        <f>VLOOKUP(D128,CORREOS!$A$2:$B$570,2,FALSE)</f>
        <v>GLEYTON@ANTAYHOTELES.CL</v>
      </c>
      <c r="H128" s="24" t="str">
        <f>VLOOKUP(A128,'Informe 2025'!$A$5:$C$164,3,FALSE)</f>
        <v>Tutor "capcula de seguridad"</v>
      </c>
      <c r="I128">
        <f>VLOOKUP(H128,'Informe 2025'!$C$6:$M$166,11,FALSE)</f>
        <v>2</v>
      </c>
    </row>
    <row r="129" spans="1:9" x14ac:dyDescent="0.25">
      <c r="A129" s="2">
        <v>12</v>
      </c>
      <c r="B129" t="str">
        <f>VLOOKUP(A129,'Informe 2025'!$1:$1048576,2,FALSE)</f>
        <v>ABRIL</v>
      </c>
      <c r="C129" t="s">
        <v>465</v>
      </c>
      <c r="D129" s="20" t="str">
        <f>VLOOKUP(C129,ID!$1:$1048576,4,FALSE)</f>
        <v>103311</v>
      </c>
      <c r="E129" s="20" t="str">
        <f>VLOOKUP(C129,ID!$1:$1048576,3,FALSE)</f>
        <v xml:space="preserve"> JOHNNY ALEXANDER</v>
      </c>
      <c r="F129" s="20" t="str">
        <f>VLOOKUP(C129,ID!$1:$1048576,2,FALSE)</f>
        <v>PIÑONES RODENAS</v>
      </c>
      <c r="G129" s="2" t="str">
        <f>VLOOKUP(D129,CORREOS!$A$2:$B$570,2,FALSE)</f>
        <v>JPINONES@CL.LUCKIA.COM</v>
      </c>
      <c r="H129" s="24" t="str">
        <f>VLOOKUP(A129,'Informe 2025'!$A$5:$C$164,3,FALSE)</f>
        <v>Tutor "capcula de seguridad"</v>
      </c>
      <c r="I129">
        <f>VLOOKUP(H129,'Informe 2025'!$C$6:$M$166,11,FALSE)</f>
        <v>2</v>
      </c>
    </row>
    <row r="130" spans="1:9" x14ac:dyDescent="0.25">
      <c r="A130" s="2">
        <v>12</v>
      </c>
      <c r="B130" t="str">
        <f>VLOOKUP(A130,'Informe 2025'!$1:$1048576,2,FALSE)</f>
        <v>ABRIL</v>
      </c>
      <c r="C130" t="s">
        <v>339</v>
      </c>
      <c r="D130" s="20" t="str">
        <f>VLOOKUP(C130,ID!$1:$1048576,4,FALSE)</f>
        <v>101938</v>
      </c>
      <c r="E130" s="20" t="str">
        <f>VLOOKUP(C130,ID!$1:$1048576,3,FALSE)</f>
        <v xml:space="preserve"> LORETO ANDREA</v>
      </c>
      <c r="F130" s="20" t="str">
        <f>VLOOKUP(C130,ID!$1:$1048576,2,FALSE)</f>
        <v>FERNANDEZ GONZALEZ</v>
      </c>
      <c r="G130" s="2" t="str">
        <f>VLOOKUP(D130,CORREOS!$A$2:$B$570,2,FALSE)</f>
        <v>LFGONZALEZ@CL.LUCKIA.COM</v>
      </c>
      <c r="H130" s="24" t="str">
        <f>VLOOKUP(A130,'Informe 2025'!$A$5:$C$164,3,FALSE)</f>
        <v>Tutor "capcula de seguridad"</v>
      </c>
      <c r="I130">
        <f>VLOOKUP(H130,'Informe 2025'!$C$6:$M$166,11,FALSE)</f>
        <v>2</v>
      </c>
    </row>
    <row r="131" spans="1:9" x14ac:dyDescent="0.25">
      <c r="A131" s="2">
        <v>13</v>
      </c>
      <c r="B131" t="str">
        <f>VLOOKUP(A131,'Informe 2025'!$1:$1048576,2,FALSE)</f>
        <v>ABRIL</v>
      </c>
      <c r="C131" t="s">
        <v>1815</v>
      </c>
      <c r="D131" s="20" t="str">
        <f>VLOOKUP(C131,ID!$1:$1048576,4,FALSE)</f>
        <v>104068</v>
      </c>
      <c r="E131" s="20" t="str">
        <f>VLOOKUP(C131,ID!$1:$1048576,3,FALSE)</f>
        <v xml:space="preserve"> BRANDON NICOLAS</v>
      </c>
      <c r="F131" s="20" t="str">
        <f>VLOOKUP(C131,ID!$1:$1048576,2,FALSE)</f>
        <v>GOMEZ LOBOS</v>
      </c>
      <c r="G131" s="2" t="str">
        <f>VLOOKUP(D131,CORREOS!$A$2:$B$570,2,FALSE)</f>
        <v>BGLOBOS@ANTAYHOTELES.CL</v>
      </c>
      <c r="H131" s="24" t="str">
        <f>VLOOKUP(A131,'Informe 2025'!$A$5:$C$164,3,FALSE)</f>
        <v>Introduccion al mundo de los destilados</v>
      </c>
      <c r="I131">
        <f>VLOOKUP(H131,'Informe 2025'!$C$6:$M$166,11,FALSE)</f>
        <v>1</v>
      </c>
    </row>
    <row r="132" spans="1:9" x14ac:dyDescent="0.25">
      <c r="A132" s="2">
        <v>13</v>
      </c>
      <c r="B132" t="str">
        <f>VLOOKUP(A132,'Informe 2025'!$1:$1048576,2,FALSE)</f>
        <v>ABRIL</v>
      </c>
      <c r="C132" t="s">
        <v>1851</v>
      </c>
      <c r="D132" s="20" t="str">
        <f>VLOOKUP(C132,ID!$1:$1048576,4,FALSE)</f>
        <v>103895</v>
      </c>
      <c r="E132" s="20" t="str">
        <f>VLOOKUP(C132,ID!$1:$1048576,3,FALSE)</f>
        <v xml:space="preserve"> VICENTE ALONSO</v>
      </c>
      <c r="F132" s="20" t="str">
        <f>VLOOKUP(C132,ID!$1:$1048576,2,FALSE)</f>
        <v>ZUMARAN JORQUERA</v>
      </c>
      <c r="G132" s="2" t="str">
        <f>VLOOKUP(D132,CORREOS!$A$2:$B$570,2,FALSE)</f>
        <v>VZUMARAN@ANTAYHOTELES.CL</v>
      </c>
      <c r="H132" s="24" t="str">
        <f>VLOOKUP(A132,'Informe 2025'!$A$5:$C$164,3,FALSE)</f>
        <v>Introduccion al mundo de los destilados</v>
      </c>
      <c r="I132">
        <f>VLOOKUP(H132,'Informe 2025'!$C$6:$M$166,11,FALSE)</f>
        <v>1</v>
      </c>
    </row>
    <row r="133" spans="1:9" x14ac:dyDescent="0.25">
      <c r="A133" s="2">
        <v>14</v>
      </c>
      <c r="B133" t="str">
        <f>VLOOKUP(A133,'Informe 2025'!$1:$1048576,2,FALSE)</f>
        <v>ABRIL</v>
      </c>
      <c r="C133" t="s">
        <v>372</v>
      </c>
      <c r="D133" s="20" t="str">
        <f>VLOOKUP(C133,ID!$1:$1048576,4,FALSE)</f>
        <v>103010</v>
      </c>
      <c r="E133" s="20" t="str">
        <f>VLOOKUP(C133,ID!$1:$1048576,3,FALSE)</f>
        <v xml:space="preserve"> FERNANDO</v>
      </c>
      <c r="F133" s="20" t="str">
        <f>VLOOKUP(C133,ID!$1:$1048576,2,FALSE)</f>
        <v>GONZALEZ OROZCO</v>
      </c>
      <c r="G133" s="2" t="str">
        <f>VLOOKUP(D133,CORREOS!$A$2:$B$570,2,FALSE)</f>
        <v>FGOROZCO@ANTAYHOTELES.CL</v>
      </c>
      <c r="H133" s="24" t="str">
        <f>VLOOKUP(A133,'Informe 2025'!$A$5:$C$164,3,FALSE)</f>
        <v>Curso de Ingles</v>
      </c>
      <c r="I133">
        <f>VLOOKUP(H133,'Informe 2025'!$C$6:$M$166,11,FALSE)</f>
        <v>12</v>
      </c>
    </row>
    <row r="134" spans="1:9" x14ac:dyDescent="0.25">
      <c r="A134" s="2">
        <v>14</v>
      </c>
      <c r="B134" t="str">
        <f>VLOOKUP(A134,'Informe 2025'!$1:$1048576,2,FALSE)</f>
        <v>ABRIL</v>
      </c>
      <c r="C134" t="s">
        <v>356</v>
      </c>
      <c r="D134" s="20" t="str">
        <f>VLOOKUP(C134,ID!$1:$1048576,4,FALSE)</f>
        <v>101587</v>
      </c>
      <c r="E134" s="20" t="str">
        <f>VLOOKUP(C134,ID!$1:$1048576,3,FALSE)</f>
        <v xml:space="preserve"> BERNARDO ANTONIO</v>
      </c>
      <c r="F134" s="20" t="str">
        <f>VLOOKUP(C134,ID!$1:$1048576,2,FALSE)</f>
        <v>GARRIDO ANTINAO</v>
      </c>
      <c r="G134" s="2" t="str">
        <f>VLOOKUP(D134,CORREOS!$A$2:$B$570,2,FALSE)</f>
        <v>BERNARDOANTONIO.GARRIDO@CL.LUCKIA.COM</v>
      </c>
      <c r="H134" s="24" t="str">
        <f>VLOOKUP(A134,'Informe 2025'!$A$5:$C$164,3,FALSE)</f>
        <v>Curso de Ingles</v>
      </c>
      <c r="I134">
        <f>VLOOKUP(H134,'Informe 2025'!$C$6:$M$166,11,FALSE)</f>
        <v>12</v>
      </c>
    </row>
    <row r="135" spans="1:9" x14ac:dyDescent="0.25">
      <c r="A135" s="2">
        <v>14</v>
      </c>
      <c r="B135" t="str">
        <f>VLOOKUP(A135,'Informe 2025'!$1:$1048576,2,FALSE)</f>
        <v>ABRIL</v>
      </c>
      <c r="C135" t="s">
        <v>395</v>
      </c>
      <c r="D135" s="20" t="str">
        <f>VLOOKUP(C135,ID!$1:$1048576,4,FALSE)</f>
        <v>102063</v>
      </c>
      <c r="E135" s="20" t="str">
        <f>VLOOKUP(C135,ID!$1:$1048576,3,FALSE)</f>
        <v xml:space="preserve"> MICHELLE ANNETTE</v>
      </c>
      <c r="F135" s="20" t="str">
        <f>VLOOKUP(C135,ID!$1:$1048576,2,FALSE)</f>
        <v>LEAL LEYTON</v>
      </c>
      <c r="G135" s="2" t="str">
        <f>VLOOKUP(D135,CORREOS!$A$2:$B$570,2,FALSE)</f>
        <v>MLEAL@CL.LUCKIA.COM</v>
      </c>
      <c r="H135" s="24" t="str">
        <f>VLOOKUP(A135,'Informe 2025'!$A$5:$C$164,3,FALSE)</f>
        <v>Curso de Ingles</v>
      </c>
      <c r="I135">
        <f>VLOOKUP(H135,'Informe 2025'!$C$6:$M$166,11,FALSE)</f>
        <v>12</v>
      </c>
    </row>
    <row r="136" spans="1:9" x14ac:dyDescent="0.25">
      <c r="A136" s="2">
        <v>14</v>
      </c>
      <c r="B136" t="str">
        <f>VLOOKUP(A136,'Informe 2025'!$1:$1048576,2,FALSE)</f>
        <v>ABRIL</v>
      </c>
      <c r="C136" t="s">
        <v>407</v>
      </c>
      <c r="D136" s="20" t="str">
        <f>VLOOKUP(C136,ID!$1:$1048576,4,FALSE)</f>
        <v>101826</v>
      </c>
      <c r="E136" s="20" t="str">
        <f>VLOOKUP(C136,ID!$1:$1048576,3,FALSE)</f>
        <v xml:space="preserve"> NARELA ALIZON JUDYT</v>
      </c>
      <c r="F136" s="20" t="str">
        <f>VLOOKUP(C136,ID!$1:$1048576,2,FALSE)</f>
        <v>MARINO ALARO</v>
      </c>
      <c r="G136" s="2" t="str">
        <f>VLOOKUP(D136,CORREOS!$A$2:$B$570,2,FALSE)</f>
        <v>NMARINO@CL.LUCKIA.COM</v>
      </c>
      <c r="H136" s="24" t="str">
        <f>VLOOKUP(A136,'Informe 2025'!$A$5:$C$164,3,FALSE)</f>
        <v>Curso de Ingles</v>
      </c>
      <c r="I136">
        <f>VLOOKUP(H136,'Informe 2025'!$C$6:$M$166,11,FALSE)</f>
        <v>12</v>
      </c>
    </row>
    <row r="137" spans="1:9" x14ac:dyDescent="0.25">
      <c r="A137" s="2">
        <v>14</v>
      </c>
      <c r="B137" t="str">
        <f>VLOOKUP(A137,'Informe 2025'!$1:$1048576,2,FALSE)</f>
        <v>ABRIL</v>
      </c>
      <c r="C137" t="s">
        <v>351</v>
      </c>
      <c r="D137" s="20" t="str">
        <f>VLOOKUP(C137,ID!$1:$1048576,4,FALSE)</f>
        <v>103260</v>
      </c>
      <c r="E137" s="20" t="str">
        <f>VLOOKUP(C137,ID!$1:$1048576,3,FALSE)</f>
        <v xml:space="preserve"> JUAN MANUEL</v>
      </c>
      <c r="F137" s="20" t="str">
        <f>VLOOKUP(C137,ID!$1:$1048576,2,FALSE)</f>
        <v>GALLARDO MARIN</v>
      </c>
      <c r="G137" s="2" t="str">
        <f>VLOOKUP(D137,CORREOS!$A$2:$B$570,2,FALSE)</f>
        <v>JGMARIN@CL.LUCKIA.COM</v>
      </c>
      <c r="H137" s="24" t="str">
        <f>VLOOKUP(A137,'Informe 2025'!$A$5:$C$164,3,FALSE)</f>
        <v>Curso de Ingles</v>
      </c>
      <c r="I137">
        <f>VLOOKUP(H137,'Informe 2025'!$C$6:$M$166,11,FALSE)</f>
        <v>12</v>
      </c>
    </row>
    <row r="138" spans="1:9" x14ac:dyDescent="0.25">
      <c r="A138" s="2">
        <v>14</v>
      </c>
      <c r="B138" t="str">
        <f>VLOOKUP(A138,'Informe 2025'!$1:$1048576,2,FALSE)</f>
        <v>ABRIL</v>
      </c>
      <c r="C138" t="s">
        <v>497</v>
      </c>
      <c r="D138" s="20" t="str">
        <f>VLOOKUP(C138,ID!$1:$1048576,4,FALSE)</f>
        <v>101379</v>
      </c>
      <c r="E138" s="20" t="str">
        <f>VLOOKUP(C138,ID!$1:$1048576,3,FALSE)</f>
        <v xml:space="preserve"> FABRIZZIO ANIBAL DUVAN</v>
      </c>
      <c r="F138" s="20" t="str">
        <f>VLOOKUP(C138,ID!$1:$1048576,2,FALSE)</f>
        <v>SALDAÑO CHAMORRO</v>
      </c>
      <c r="G138" s="2" t="str">
        <f>VLOOKUP(D138,CORREOS!$A$2:$B$570,2,FALSE)</f>
        <v>FABRIZZIOANIBALDUVAN.SALDANO@CL.LUCKIA.COM</v>
      </c>
      <c r="H138" s="24" t="str">
        <f>VLOOKUP(A138,'Informe 2025'!$A$5:$C$164,3,FALSE)</f>
        <v>Curso de Ingles</v>
      </c>
      <c r="I138">
        <f>VLOOKUP(H138,'Informe 2025'!$C$6:$M$166,11,FALSE)</f>
        <v>12</v>
      </c>
    </row>
    <row r="139" spans="1:9" x14ac:dyDescent="0.25">
      <c r="A139" s="2">
        <v>14</v>
      </c>
      <c r="B139" t="str">
        <f>VLOOKUP(A139,'Informe 2025'!$1:$1048576,2,FALSE)</f>
        <v>ABRIL</v>
      </c>
      <c r="C139" t="s">
        <v>488</v>
      </c>
      <c r="D139" s="20" t="str">
        <f>VLOOKUP(C139,ID!$1:$1048576,4,FALSE)</f>
        <v>101691</v>
      </c>
      <c r="E139" s="20" t="str">
        <f>VLOOKUP(C139,ID!$1:$1048576,3,FALSE)</f>
        <v xml:space="preserve"> MARIA JOSE</v>
      </c>
      <c r="F139" s="20" t="str">
        <f>VLOOKUP(C139,ID!$1:$1048576,2,FALSE)</f>
        <v>ROJAS FERNANDEZ</v>
      </c>
      <c r="G139" s="2" t="str">
        <f>VLOOKUP(D139,CORREOS!$A$2:$B$570,2,FALSE)</f>
        <v>MARIAJOSE.ROJAS@ANTAYHOTELES.CL</v>
      </c>
      <c r="H139" s="24" t="str">
        <f>VLOOKUP(A139,'Informe 2025'!$A$5:$C$164,3,FALSE)</f>
        <v>Curso de Ingles</v>
      </c>
      <c r="I139">
        <f>VLOOKUP(H139,'Informe 2025'!$C$6:$M$166,11,FALSE)</f>
        <v>12</v>
      </c>
    </row>
    <row r="140" spans="1:9" x14ac:dyDescent="0.25">
      <c r="A140" s="2">
        <v>14</v>
      </c>
      <c r="B140" t="str">
        <f>VLOOKUP(A140,'Informe 2025'!$1:$1048576,2,FALSE)</f>
        <v>ABRIL</v>
      </c>
      <c r="C140" t="s">
        <v>361</v>
      </c>
      <c r="D140" s="20" t="str">
        <f>VLOOKUP(C140,ID!$1:$1048576,4,FALSE)</f>
        <v>101731</v>
      </c>
      <c r="E140" s="20" t="str">
        <f>VLOOKUP(C140,ID!$1:$1048576,3,FALSE)</f>
        <v xml:space="preserve"> JAVIERA BEATRIZ</v>
      </c>
      <c r="F140" s="20" t="str">
        <f>VLOOKUP(C140,ID!$1:$1048576,2,FALSE)</f>
        <v>GODOY URRA</v>
      </c>
      <c r="G140" s="2" t="str">
        <f>VLOOKUP(D140,CORREOS!$A$2:$B$570,2,FALSE)</f>
        <v>JGODOY@ANTAYHOTELES.CL</v>
      </c>
      <c r="H140" s="24" t="str">
        <f>VLOOKUP(A140,'Informe 2025'!$A$5:$C$164,3,FALSE)</f>
        <v>Curso de Ingles</v>
      </c>
      <c r="I140">
        <f>VLOOKUP(H140,'Informe 2025'!$C$6:$M$166,11,FALSE)</f>
        <v>12</v>
      </c>
    </row>
    <row r="141" spans="1:9" x14ac:dyDescent="0.25">
      <c r="A141" s="2">
        <v>14</v>
      </c>
      <c r="B141" t="str">
        <f>VLOOKUP(A141,'Informe 2025'!$1:$1048576,2,FALSE)</f>
        <v>ABRIL</v>
      </c>
      <c r="C141" t="s">
        <v>378</v>
      </c>
      <c r="D141" s="20" t="str">
        <f>VLOOKUP(C141,ID!$1:$1048576,4,FALSE)</f>
        <v>101407</v>
      </c>
      <c r="E141" s="20" t="str">
        <f>VLOOKUP(C141,ID!$1:$1048576,3,FALSE)</f>
        <v xml:space="preserve"> JOSEPH ALFREDO</v>
      </c>
      <c r="F141" s="20" t="str">
        <f>VLOOKUP(C141,ID!$1:$1048576,2,FALSE)</f>
        <v>HENRIQUEZ ARAYA</v>
      </c>
      <c r="G141" s="2" t="str">
        <f>VLOOKUP(D141,CORREOS!$A$2:$B$570,2,FALSE)</f>
        <v>JOSEPHALFREDO.HENRIQUEZ@CL.LUCKIA.COM</v>
      </c>
      <c r="H141" s="24" t="str">
        <f>VLOOKUP(A141,'Informe 2025'!$A$5:$C$164,3,FALSE)</f>
        <v>Curso de Ingles</v>
      </c>
      <c r="I141">
        <f>VLOOKUP(H141,'Informe 2025'!$C$6:$M$166,11,FALSE)</f>
        <v>12</v>
      </c>
    </row>
    <row r="142" spans="1:9" x14ac:dyDescent="0.25">
      <c r="A142" s="2">
        <v>14</v>
      </c>
      <c r="B142" t="str">
        <f>VLOOKUP(A142,'Informe 2025'!$1:$1048576,2,FALSE)</f>
        <v>ABRIL</v>
      </c>
      <c r="C142" t="s">
        <v>534</v>
      </c>
      <c r="D142" s="20" t="str">
        <f>VLOOKUP(C142,ID!$1:$1048576,4,FALSE)</f>
        <v>102292</v>
      </c>
      <c r="E142" s="20" t="str">
        <f>VLOOKUP(C142,ID!$1:$1048576,3,FALSE)</f>
        <v xml:space="preserve"> ESKARLETT YUBINZA</v>
      </c>
      <c r="F142" s="20" t="str">
        <f>VLOOKUP(C142,ID!$1:$1048576,2,FALSE)</f>
        <v>ZULETA COLQUE</v>
      </c>
      <c r="G142" s="2" t="str">
        <f>VLOOKUP(D142,CORREOS!$A$2:$B$570,2,FALSE)</f>
        <v>EZCOLQUE@CL.LUCKIA.COM</v>
      </c>
      <c r="H142" s="24" t="str">
        <f>VLOOKUP(A142,'Informe 2025'!$A$5:$C$164,3,FALSE)</f>
        <v>Curso de Ingles</v>
      </c>
      <c r="I142">
        <f>VLOOKUP(H142,'Informe 2025'!$C$6:$M$166,11,FALSE)</f>
        <v>12</v>
      </c>
    </row>
    <row r="143" spans="1:9" x14ac:dyDescent="0.25">
      <c r="A143" s="2">
        <v>15</v>
      </c>
      <c r="B143" t="str">
        <f>VLOOKUP(A143,'Informe 2025'!$1:$1048576,2,FALSE)</f>
        <v>ABRIL</v>
      </c>
      <c r="C143" t="s">
        <v>396</v>
      </c>
      <c r="D143" s="20" t="str">
        <f>VLOOKUP(C143,ID!$1:$1048576,4,FALSE)</f>
        <v>103277</v>
      </c>
      <c r="E143" s="20" t="str">
        <f>VLOOKUP(C143,ID!$1:$1048576,3,FALSE)</f>
        <v xml:space="preserve"> GUNNAR</v>
      </c>
      <c r="F143" s="20" t="str">
        <f>VLOOKUP(C143,ID!$1:$1048576,2,FALSE)</f>
        <v>LEYTON RODAS</v>
      </c>
      <c r="G143" s="2" t="str">
        <f>VLOOKUP(D143,CORREOS!$A$2:$B$570,2,FALSE)</f>
        <v>GLEYTON@ANTAYHOTELES.CL</v>
      </c>
      <c r="H143" s="24" t="str">
        <f>VLOOKUP(A143,'Informe 2025'!$A$5:$C$164,3,FALSE)</f>
        <v>Charla concientización sobre la discapacidad</v>
      </c>
      <c r="I143">
        <f>VLOOKUP(H143,'Informe 2025'!$C$6:$M$166,11,FALSE)</f>
        <v>2</v>
      </c>
    </row>
    <row r="144" spans="1:9" x14ac:dyDescent="0.25">
      <c r="A144" s="2">
        <v>15</v>
      </c>
      <c r="B144" t="str">
        <f>VLOOKUP(A144,'Informe 2025'!$1:$1048576,2,FALSE)</f>
        <v>ABRIL</v>
      </c>
      <c r="C144" t="s">
        <v>1653</v>
      </c>
      <c r="D144" s="20" t="str">
        <f>VLOOKUP(C144,ID!$1:$1048576,4,FALSE)</f>
        <v>103224</v>
      </c>
      <c r="E144" s="20" t="str">
        <f>VLOOKUP(C144,ID!$1:$1048576,3,FALSE)</f>
        <v xml:space="preserve"> GIANNY NELSON MARLON</v>
      </c>
      <c r="F144" s="20" t="str">
        <f>VLOOKUP(C144,ID!$1:$1048576,2,FALSE)</f>
        <v>MERINO MEYER</v>
      </c>
      <c r="G144" s="2" t="e">
        <f>VLOOKUP(D144,CORREOS!$A$2:$B$570,2,FALSE)</f>
        <v>#N/A</v>
      </c>
      <c r="H144" s="24" t="str">
        <f>VLOOKUP(A144,'Informe 2025'!$A$5:$C$164,3,FALSE)</f>
        <v>Charla concientización sobre la discapacidad</v>
      </c>
      <c r="I144">
        <f>VLOOKUP(H144,'Informe 2025'!$C$6:$M$166,11,FALSE)</f>
        <v>2</v>
      </c>
    </row>
    <row r="145" spans="1:9" x14ac:dyDescent="0.25">
      <c r="A145" s="2">
        <v>15</v>
      </c>
      <c r="B145" t="str">
        <f>VLOOKUP(A145,'Informe 2025'!$1:$1048576,2,FALSE)</f>
        <v>ABRIL</v>
      </c>
      <c r="C145" t="s">
        <v>301</v>
      </c>
      <c r="D145" s="20" t="str">
        <f>VLOOKUP(C145,ID!$1:$1048576,4,FALSE)</f>
        <v>103342</v>
      </c>
      <c r="E145" s="20" t="str">
        <f>VLOOKUP(C145,ID!$1:$1048576,3,FALSE)</f>
        <v xml:space="preserve"> YEMILFER SHEREZADE</v>
      </c>
      <c r="F145" s="20" t="str">
        <f>VLOOKUP(C145,ID!$1:$1048576,2,FALSE)</f>
        <v>CASTELLANO PERDOMO</v>
      </c>
      <c r="G145" s="2" t="str">
        <f>VLOOKUP(D145,CORREOS!$A$2:$B$570,2,FALSE)</f>
        <v>YCASTELLANO@ANTAYHOTELES.CL</v>
      </c>
      <c r="H145" s="24" t="str">
        <f>VLOOKUP(A145,'Informe 2025'!$A$5:$C$164,3,FALSE)</f>
        <v>Charla concientización sobre la discapacidad</v>
      </c>
      <c r="I145">
        <f>VLOOKUP(H145,'Informe 2025'!$C$6:$M$166,11,FALSE)</f>
        <v>2</v>
      </c>
    </row>
    <row r="146" spans="1:9" x14ac:dyDescent="0.25">
      <c r="A146" s="2">
        <v>15</v>
      </c>
      <c r="B146" t="str">
        <f>VLOOKUP(A146,'Informe 2025'!$1:$1048576,2,FALSE)</f>
        <v>ABRIL</v>
      </c>
      <c r="C146" t="s">
        <v>1880</v>
      </c>
      <c r="D146" s="20" t="str">
        <f>VLOOKUP(C146,ID!$1:$1048576,4,FALSE)</f>
        <v>102362</v>
      </c>
      <c r="E146" s="20" t="str">
        <f>VLOOKUP(C146,ID!$1:$1048576,3,FALSE)</f>
        <v xml:space="preserve"> MARCIA IRENE</v>
      </c>
      <c r="F146" s="20" t="str">
        <f>VLOOKUP(C146,ID!$1:$1048576,2,FALSE)</f>
        <v>FLORES TOLEDO</v>
      </c>
      <c r="G146" s="2" t="str">
        <f>VLOOKUP(D146,CORREOS!$A$2:$B$570,2,FALSE)</f>
        <v>MFTOLEDO@ANTAYHOTELES.CL</v>
      </c>
      <c r="H146" s="24" t="str">
        <f>VLOOKUP(A146,'Informe 2025'!$A$5:$C$164,3,FALSE)</f>
        <v>Charla concientización sobre la discapacidad</v>
      </c>
      <c r="I146">
        <f>VLOOKUP(H146,'Informe 2025'!$C$6:$M$166,11,FALSE)</f>
        <v>2</v>
      </c>
    </row>
    <row r="147" spans="1:9" x14ac:dyDescent="0.25">
      <c r="A147" s="2">
        <v>15</v>
      </c>
      <c r="B147" t="str">
        <f>VLOOKUP(A147,'Informe 2025'!$1:$1048576,2,FALSE)</f>
        <v>ABRIL</v>
      </c>
      <c r="C147" t="s">
        <v>374</v>
      </c>
      <c r="D147" s="20" t="str">
        <f>VLOOKUP(C147,ID!$1:$1048576,4,FALSE)</f>
        <v>101807</v>
      </c>
      <c r="E147" s="20" t="str">
        <f>VLOOKUP(C147,ID!$1:$1048576,3,FALSE)</f>
        <v xml:space="preserve"> MIGUEL PATRICIO</v>
      </c>
      <c r="F147" s="20" t="str">
        <f>VLOOKUP(C147,ID!$1:$1048576,2,FALSE)</f>
        <v>GONZALEZ TORRES</v>
      </c>
      <c r="G147" s="2" t="str">
        <f>VLOOKUP(D147,CORREOS!$A$2:$B$570,2,FALSE)</f>
        <v>MIGUEL.GONZALEZ@CL.LUCKIA.COM</v>
      </c>
      <c r="H147" s="24" t="str">
        <f>VLOOKUP(A147,'Informe 2025'!$A$5:$C$164,3,FALSE)</f>
        <v>Charla concientización sobre la discapacidad</v>
      </c>
      <c r="I147">
        <f>VLOOKUP(H147,'Informe 2025'!$C$6:$M$166,11,FALSE)</f>
        <v>2</v>
      </c>
    </row>
    <row r="148" spans="1:9" x14ac:dyDescent="0.25">
      <c r="A148" s="2">
        <v>15</v>
      </c>
      <c r="B148" t="str">
        <f>VLOOKUP(A148,'Informe 2025'!$1:$1048576,2,FALSE)</f>
        <v>ABRIL</v>
      </c>
      <c r="C148" t="s">
        <v>419</v>
      </c>
      <c r="D148" s="20" t="str">
        <f>VLOOKUP(C148,ID!$1:$1048576,4,FALSE)</f>
        <v>103074</v>
      </c>
      <c r="E148" s="20" t="str">
        <f>VLOOKUP(C148,ID!$1:$1048576,3,FALSE)</f>
        <v xml:space="preserve"> JOHANN</v>
      </c>
      <c r="F148" s="20" t="str">
        <f>VLOOKUP(C148,ID!$1:$1048576,2,FALSE)</f>
        <v>MIRANDA VIZA</v>
      </c>
      <c r="G148" s="2" t="str">
        <f>VLOOKUP(D148,CORREOS!$A$2:$B$570,2,FALSE)</f>
        <v>JMVIZA@ANTAYHOTELES.CL</v>
      </c>
      <c r="H148" s="24" t="str">
        <f>VLOOKUP(A148,'Informe 2025'!$A$5:$C$164,3,FALSE)</f>
        <v>Charla concientización sobre la discapacidad</v>
      </c>
      <c r="I148">
        <f>VLOOKUP(H148,'Informe 2025'!$C$6:$M$166,11,FALSE)</f>
        <v>2</v>
      </c>
    </row>
    <row r="149" spans="1:9" x14ac:dyDescent="0.25">
      <c r="A149" s="2">
        <v>15</v>
      </c>
      <c r="B149" t="str">
        <f>VLOOKUP(A149,'Informe 2025'!$1:$1048576,2,FALSE)</f>
        <v>ABRIL</v>
      </c>
      <c r="C149" t="s">
        <v>1630</v>
      </c>
      <c r="D149" s="20" t="str">
        <f>VLOOKUP(C149,ID!$1:$1048576,4,FALSE)</f>
        <v>103871</v>
      </c>
      <c r="E149" s="20" t="str">
        <f>VLOOKUP(C149,ID!$1:$1048576,3,FALSE)</f>
        <v xml:space="preserve"> MAURICIO ANTONIO</v>
      </c>
      <c r="F149" s="20" t="str">
        <f>VLOOKUP(C149,ID!$1:$1048576,2,FALSE)</f>
        <v>AVENDAÑO ARANCIBIA</v>
      </c>
      <c r="G149" s="2" t="str">
        <f>VLOOKUP(D149,CORREOS!$A$2:$B$570,2,FALSE)</f>
        <v>MAVENDANO@antayhoteles.cl</v>
      </c>
      <c r="H149" s="24" t="str">
        <f>VLOOKUP(A149,'Informe 2025'!$A$5:$C$164,3,FALSE)</f>
        <v>Charla concientización sobre la discapacidad</v>
      </c>
      <c r="I149">
        <f>VLOOKUP(H149,'Informe 2025'!$C$6:$M$166,11,FALSE)</f>
        <v>2</v>
      </c>
    </row>
    <row r="150" spans="1:9" x14ac:dyDescent="0.25">
      <c r="A150" s="2">
        <v>15</v>
      </c>
      <c r="B150" t="str">
        <f>VLOOKUP(A150,'Informe 2025'!$1:$1048576,2,FALSE)</f>
        <v>ABRIL</v>
      </c>
      <c r="C150" t="s">
        <v>468</v>
      </c>
      <c r="D150" s="20" t="str">
        <f>VLOOKUP(C150,ID!$1:$1048576,4,FALSE)</f>
        <v>100980</v>
      </c>
      <c r="E150" s="20" t="str">
        <f>VLOOKUP(C150,ID!$1:$1048576,3,FALSE)</f>
        <v xml:space="preserve"> STEFANO</v>
      </c>
      <c r="F150" s="20" t="str">
        <f>VLOOKUP(C150,ID!$1:$1048576,2,FALSE)</f>
        <v>PULS</v>
      </c>
      <c r="G150" s="2" t="str">
        <f>VLOOKUP(D150,CORREOS!$A$2:$B$570,2,FALSE)</f>
        <v>SPULS@ANTAYHOTELES.CL</v>
      </c>
      <c r="H150" s="24" t="str">
        <f>VLOOKUP(A150,'Informe 2025'!$A$5:$C$164,3,FALSE)</f>
        <v>Charla concientización sobre la discapacidad</v>
      </c>
      <c r="I150">
        <f>VLOOKUP(H150,'Informe 2025'!$C$6:$M$166,11,FALSE)</f>
        <v>2</v>
      </c>
    </row>
    <row r="151" spans="1:9" x14ac:dyDescent="0.25">
      <c r="A151" s="2">
        <v>15</v>
      </c>
      <c r="B151" t="str">
        <f>VLOOKUP(A151,'Informe 2025'!$1:$1048576,2,FALSE)</f>
        <v>ABRIL</v>
      </c>
      <c r="C151" t="s">
        <v>447</v>
      </c>
      <c r="D151" s="20" t="str">
        <f>VLOOKUP(C151,ID!$1:$1048576,4,FALSE)</f>
        <v>100450</v>
      </c>
      <c r="E151" s="20" t="str">
        <f>VLOOKUP(C151,ID!$1:$1048576,3,FALSE)</f>
        <v xml:space="preserve"> OSCAR ANDRES</v>
      </c>
      <c r="F151" s="20" t="str">
        <f>VLOOKUP(C151,ID!$1:$1048576,2,FALSE)</f>
        <v>OSSANDON ALCOTA</v>
      </c>
      <c r="G151" s="2" t="str">
        <f>VLOOKUP(D151,CORREOS!$A$2:$B$570,2,FALSE)</f>
        <v>OSCAR.OSSANDON@ANTAYHOTELES.CL</v>
      </c>
      <c r="H151" s="24" t="str">
        <f>VLOOKUP(A151,'Informe 2025'!$A$5:$C$164,3,FALSE)</f>
        <v>Charla concientización sobre la discapacidad</v>
      </c>
      <c r="I151">
        <f>VLOOKUP(H151,'Informe 2025'!$C$6:$M$166,11,FALSE)</f>
        <v>2</v>
      </c>
    </row>
    <row r="152" spans="1:9" x14ac:dyDescent="0.25">
      <c r="A152" s="2">
        <v>15</v>
      </c>
      <c r="B152" t="str">
        <f>VLOOKUP(A152,'Informe 2025'!$1:$1048576,2,FALSE)</f>
        <v>ABRIL</v>
      </c>
      <c r="C152" t="s">
        <v>297</v>
      </c>
      <c r="D152" s="20" t="str">
        <f>VLOOKUP(C152,ID!$1:$1048576,4,FALSE)</f>
        <v>101535</v>
      </c>
      <c r="E152" s="20" t="str">
        <f>VLOOKUP(C152,ID!$1:$1048576,3,FALSE)</f>
        <v xml:space="preserve"> BETZABET ALEJANDRA</v>
      </c>
      <c r="F152" s="20" t="str">
        <f>VLOOKUP(C152,ID!$1:$1048576,2,FALSE)</f>
        <v>CARREÑO PIZARRA</v>
      </c>
      <c r="G152" s="2" t="str">
        <f>VLOOKUP(D152,CORREOS!$A$2:$B$570,2,FALSE)</f>
        <v>BETZABETALEJANDRA.CARRENO@ANTAYHOTELES.CL</v>
      </c>
      <c r="H152" s="24" t="str">
        <f>VLOOKUP(A152,'Informe 2025'!$A$5:$C$164,3,FALSE)</f>
        <v>Charla concientización sobre la discapacidad</v>
      </c>
      <c r="I152">
        <f>VLOOKUP(H152,'Informe 2025'!$C$6:$M$166,11,FALSE)</f>
        <v>2</v>
      </c>
    </row>
    <row r="153" spans="1:9" x14ac:dyDescent="0.25">
      <c r="A153" s="2">
        <v>15</v>
      </c>
      <c r="B153" t="str">
        <f>VLOOKUP(A153,'Informe 2025'!$1:$1048576,2,FALSE)</f>
        <v>ABRIL</v>
      </c>
      <c r="C153" t="s">
        <v>382</v>
      </c>
      <c r="D153" s="20" t="str">
        <f>VLOOKUP(C153,ID!$1:$1048576,4,FALSE)</f>
        <v>102960</v>
      </c>
      <c r="E153" s="20" t="str">
        <f>VLOOKUP(C153,ID!$1:$1048576,3,FALSE)</f>
        <v xml:space="preserve"> VALENTINA PALOMA</v>
      </c>
      <c r="F153" s="20" t="str">
        <f>VLOOKUP(C153,ID!$1:$1048576,2,FALSE)</f>
        <v>HERRERA GARCIA</v>
      </c>
      <c r="G153" s="2" t="str">
        <f>VLOOKUP(D153,CORREOS!$A$2:$B$570,2,FALSE)</f>
        <v>VHERRERA@ANTAYHOTELES.CL</v>
      </c>
      <c r="H153" s="24" t="str">
        <f>VLOOKUP(A153,'Informe 2025'!$A$5:$C$164,3,FALSE)</f>
        <v>Charla concientización sobre la discapacidad</v>
      </c>
      <c r="I153">
        <f>VLOOKUP(H153,'Informe 2025'!$C$6:$M$166,11,FALSE)</f>
        <v>2</v>
      </c>
    </row>
    <row r="154" spans="1:9" x14ac:dyDescent="0.25">
      <c r="A154" s="2">
        <v>15</v>
      </c>
      <c r="B154" t="str">
        <f>VLOOKUP(A154,'Informe 2025'!$1:$1048576,2,FALSE)</f>
        <v>ABRIL</v>
      </c>
      <c r="C154" t="s">
        <v>439</v>
      </c>
      <c r="D154" s="20" t="str">
        <f>VLOOKUP(C154,ID!$1:$1048576,4,FALSE)</f>
        <v>102898</v>
      </c>
      <c r="E154" s="20" t="str">
        <f>VLOOKUP(C154,ID!$1:$1048576,3,FALSE)</f>
        <v xml:space="preserve"> PATRICIO ANDRES</v>
      </c>
      <c r="F154" s="20" t="str">
        <f>VLOOKUP(C154,ID!$1:$1048576,2,FALSE)</f>
        <v>OLATE VALDES</v>
      </c>
      <c r="G154" s="2" t="str">
        <f>VLOOKUP(D154,CORREOS!$A$2:$B$570,2,FALSE)</f>
        <v>POLATE@ANTAYHOTELES.CL</v>
      </c>
      <c r="H154" s="24" t="str">
        <f>VLOOKUP(A154,'Informe 2025'!$A$5:$C$164,3,FALSE)</f>
        <v>Charla concientización sobre la discapacidad</v>
      </c>
      <c r="I154">
        <f>VLOOKUP(H154,'Informe 2025'!$C$6:$M$166,11,FALSE)</f>
        <v>2</v>
      </c>
    </row>
    <row r="155" spans="1:9" x14ac:dyDescent="0.25">
      <c r="A155" s="2">
        <v>15</v>
      </c>
      <c r="B155" t="str">
        <f>VLOOKUP(A155,'Informe 2025'!$1:$1048576,2,FALSE)</f>
        <v>ABRIL</v>
      </c>
      <c r="C155" t="s">
        <v>431</v>
      </c>
      <c r="D155" s="20" t="str">
        <f>VLOOKUP(C155,ID!$1:$1048576,4,FALSE)</f>
        <v>102865</v>
      </c>
      <c r="E155" s="20" t="str">
        <f>VLOOKUP(C155,ID!$1:$1048576,3,FALSE)</f>
        <v xml:space="preserve"> CARLA ISABEL</v>
      </c>
      <c r="F155" s="20" t="str">
        <f>VLOOKUP(C155,ID!$1:$1048576,2,FALSE)</f>
        <v>MURUA GARCIA</v>
      </c>
      <c r="G155" s="2" t="str">
        <f>VLOOKUP(D155,CORREOS!$A$2:$B$570,2,FALSE)</f>
        <v>CMURUA@ANTAYHOTELES.CL</v>
      </c>
      <c r="H155" s="24" t="str">
        <f>VLOOKUP(A155,'Informe 2025'!$A$5:$C$164,3,FALSE)</f>
        <v>Charla concientización sobre la discapacidad</v>
      </c>
      <c r="I155">
        <f>VLOOKUP(H155,'Informe 2025'!$C$6:$M$166,11,FALSE)</f>
        <v>2</v>
      </c>
    </row>
    <row r="156" spans="1:9" x14ac:dyDescent="0.25">
      <c r="A156" s="2">
        <v>15</v>
      </c>
      <c r="B156" t="str">
        <f>VLOOKUP(A156,'Informe 2025'!$1:$1048576,2,FALSE)</f>
        <v>ABRIL</v>
      </c>
      <c r="C156" t="s">
        <v>364</v>
      </c>
      <c r="D156" s="20" t="str">
        <f>VLOOKUP(C156,ID!$1:$1048576,4,FALSE)</f>
        <v>102982</v>
      </c>
      <c r="E156" s="20" t="str">
        <f>VLOOKUP(C156,ID!$1:$1048576,3,FALSE)</f>
        <v xml:space="preserve"> CELINA</v>
      </c>
      <c r="F156" s="20" t="str">
        <f>VLOOKUP(C156,ID!$1:$1048576,2,FALSE)</f>
        <v>GOMEZ OJEDA</v>
      </c>
      <c r="G156" s="2" t="str">
        <f>VLOOKUP(D156,CORREOS!$A$2:$B$570,2,FALSE)</f>
        <v>CGOJEDA@ANTAYHOTELES.CL</v>
      </c>
      <c r="H156" s="24" t="str">
        <f>VLOOKUP(A156,'Informe 2025'!$A$5:$C$164,3,FALSE)</f>
        <v>Charla concientización sobre la discapacidad</v>
      </c>
      <c r="I156">
        <f>VLOOKUP(H156,'Informe 2025'!$C$6:$M$166,11,FALSE)</f>
        <v>2</v>
      </c>
    </row>
    <row r="157" spans="1:9" x14ac:dyDescent="0.25">
      <c r="A157" s="2">
        <v>15</v>
      </c>
      <c r="B157" t="str">
        <f>VLOOKUP(A157,'Informe 2025'!$1:$1048576,2,FALSE)</f>
        <v>ABRIL</v>
      </c>
      <c r="C157" t="s">
        <v>256</v>
      </c>
      <c r="D157" s="20" t="str">
        <f>VLOOKUP(C157,ID!$1:$1048576,4,FALSE)</f>
        <v>102830</v>
      </c>
      <c r="E157" s="20" t="str">
        <f>VLOOKUP(C157,ID!$1:$1048576,3,FALSE)</f>
        <v xml:space="preserve"> JENNY</v>
      </c>
      <c r="F157" s="20" t="str">
        <f>VLOOKUP(C157,ID!$1:$1048576,2,FALSE)</f>
        <v>ALVAREZ USECHE</v>
      </c>
      <c r="G157" s="2" t="str">
        <f>VLOOKUP(D157,CORREOS!$A$2:$B$570,2,FALSE)</f>
        <v>JAUSECHE@ANTAYHOTELES.CL</v>
      </c>
      <c r="H157" s="24" t="str">
        <f>VLOOKUP(A157,'Informe 2025'!$A$5:$C$164,3,FALSE)</f>
        <v>Charla concientización sobre la discapacidad</v>
      </c>
      <c r="I157">
        <f>VLOOKUP(H157,'Informe 2025'!$C$6:$M$166,11,FALSE)</f>
        <v>2</v>
      </c>
    </row>
    <row r="158" spans="1:9" x14ac:dyDescent="0.25">
      <c r="A158" s="2">
        <v>15</v>
      </c>
      <c r="B158" t="str">
        <f>VLOOKUP(A158,'Informe 2025'!$1:$1048576,2,FALSE)</f>
        <v>ABRIL</v>
      </c>
      <c r="C158" t="s">
        <v>442</v>
      </c>
      <c r="D158" s="20" t="str">
        <f>VLOOKUP(C158,ID!$1:$1048576,4,FALSE)</f>
        <v>103675</v>
      </c>
      <c r="E158" s="20" t="str">
        <f>VLOOKUP(C158,ID!$1:$1048576,3,FALSE)</f>
        <v xml:space="preserve"> EMPERATRIZ TERESA</v>
      </c>
      <c r="F158" s="20" t="str">
        <f>VLOOKUP(C158,ID!$1:$1048576,2,FALSE)</f>
        <v>OLIVEROS JULIO</v>
      </c>
      <c r="G158" s="2" t="str">
        <f>VLOOKUP(D158,CORREOS!$A$2:$B$570,2,FALSE)</f>
        <v>EOLIVEROS@ANTAYHOTELES.CL</v>
      </c>
      <c r="H158" s="24" t="str">
        <f>VLOOKUP(A158,'Informe 2025'!$A$5:$C$164,3,FALSE)</f>
        <v>Charla concientización sobre la discapacidad</v>
      </c>
      <c r="I158">
        <f>VLOOKUP(H158,'Informe 2025'!$C$6:$M$166,11,FALSE)</f>
        <v>2</v>
      </c>
    </row>
    <row r="159" spans="1:9" x14ac:dyDescent="0.25">
      <c r="A159" s="2">
        <v>15</v>
      </c>
      <c r="B159" t="str">
        <f>VLOOKUP(A159,'Informe 2025'!$1:$1048576,2,FALSE)</f>
        <v>ABRIL</v>
      </c>
      <c r="C159" t="s">
        <v>1864</v>
      </c>
      <c r="D159" s="20" t="str">
        <f>VLOOKUP(C159,ID!$1:$1048576,4,FALSE)</f>
        <v>104109</v>
      </c>
      <c r="E159" s="20" t="str">
        <f>VLOOKUP(C159,ID!$1:$1048576,3,FALSE)</f>
        <v xml:space="preserve"> CRISTIAN ALEJANDRO</v>
      </c>
      <c r="F159" s="20" t="str">
        <f>VLOOKUP(C159,ID!$1:$1048576,2,FALSE)</f>
        <v>PAILLACAN ROJAS</v>
      </c>
      <c r="G159" s="2" t="e">
        <f>VLOOKUP(D159,CORREOS!$A$2:$B$570,2,FALSE)</f>
        <v>#N/A</v>
      </c>
      <c r="H159" s="24" t="str">
        <f>VLOOKUP(A159,'Informe 2025'!$A$5:$C$164,3,FALSE)</f>
        <v>Charla concientización sobre la discapacidad</v>
      </c>
      <c r="I159">
        <f>VLOOKUP(H159,'Informe 2025'!$C$6:$M$166,11,FALSE)</f>
        <v>2</v>
      </c>
    </row>
    <row r="160" spans="1:9" x14ac:dyDescent="0.25">
      <c r="A160" s="2">
        <v>15</v>
      </c>
      <c r="B160" t="str">
        <f>VLOOKUP(A160,'Informe 2025'!$1:$1048576,2,FALSE)</f>
        <v>ABRIL</v>
      </c>
      <c r="C160" t="s">
        <v>325</v>
      </c>
      <c r="D160" s="20" t="str">
        <f>VLOOKUP(C160,ID!$1:$1048576,4,FALSE)</f>
        <v>102343</v>
      </c>
      <c r="E160" s="20" t="str">
        <f>VLOOKUP(C160,ID!$1:$1048576,3,FALSE)</f>
        <v xml:space="preserve"> MELISSA ISABEL</v>
      </c>
      <c r="F160" s="20" t="str">
        <f>VLOOKUP(C160,ID!$1:$1048576,2,FALSE)</f>
        <v>CRUZ NUÑEZ</v>
      </c>
      <c r="G160" s="2" t="str">
        <f>VLOOKUP(D160,CORREOS!$A$2:$B$570,2,FALSE)</f>
        <v>MCRUZ@ANTAYHOTELES.CL</v>
      </c>
      <c r="H160" s="24" t="str">
        <f>VLOOKUP(A160,'Informe 2025'!$A$5:$C$164,3,FALSE)</f>
        <v>Charla concientización sobre la discapacidad</v>
      </c>
      <c r="I160">
        <f>VLOOKUP(H160,'Informe 2025'!$C$6:$M$166,11,FALSE)</f>
        <v>2</v>
      </c>
    </row>
    <row r="161" spans="1:9" x14ac:dyDescent="0.25">
      <c r="A161" s="2">
        <v>15</v>
      </c>
      <c r="B161" t="str">
        <f>VLOOKUP(A161,'Informe 2025'!$1:$1048576,2,FALSE)</f>
        <v>ABRIL</v>
      </c>
      <c r="C161" t="s">
        <v>467</v>
      </c>
      <c r="D161" s="20" t="str">
        <f>VLOOKUP(C161,ID!$1:$1048576,4,FALSE)</f>
        <v>103460</v>
      </c>
      <c r="E161" s="20" t="str">
        <f>VLOOKUP(C161,ID!$1:$1048576,3,FALSE)</f>
        <v xml:space="preserve"> CATALINA ANDREA</v>
      </c>
      <c r="F161" s="20" t="str">
        <f>VLOOKUP(C161,ID!$1:$1048576,2,FALSE)</f>
        <v>PONCE MONARDES</v>
      </c>
      <c r="G161" s="2" t="str">
        <f>VLOOKUP(D161,CORREOS!$A$2:$B$570,2,FALSE)</f>
        <v>CPMONARDES@ANTAYHOTELES.CL</v>
      </c>
      <c r="H161" s="24" t="str">
        <f>VLOOKUP(A161,'Informe 2025'!$A$5:$C$164,3,FALSE)</f>
        <v>Charla concientización sobre la discapacidad</v>
      </c>
      <c r="I161">
        <f>VLOOKUP(H161,'Informe 2025'!$C$6:$M$166,11,FALSE)</f>
        <v>2</v>
      </c>
    </row>
    <row r="162" spans="1:9" x14ac:dyDescent="0.25">
      <c r="A162" s="2">
        <v>15</v>
      </c>
      <c r="B162" t="str">
        <f>VLOOKUP(A162,'Informe 2025'!$1:$1048576,2,FALSE)</f>
        <v>ABRIL</v>
      </c>
      <c r="C162" t="s">
        <v>1881</v>
      </c>
      <c r="D162" s="20" t="str">
        <f>VLOOKUP(C162,ID!$1:$1048576,4,FALSE)</f>
        <v>102191</v>
      </c>
      <c r="E162" s="20" t="str">
        <f>VLOOKUP(C162,ID!$1:$1048576,3,FALSE)</f>
        <v xml:space="preserve"> NICOLE STEPHANIE</v>
      </c>
      <c r="F162" s="20" t="str">
        <f>VLOOKUP(C162,ID!$1:$1048576,2,FALSE)</f>
        <v>CALDERON LAZO</v>
      </c>
      <c r="G162" s="2" t="str">
        <f>VLOOKUP(D162,CORREOS!$A$2:$B$570,2,FALSE)</f>
        <v>NCALDERON@CL.LUCKIA.COM</v>
      </c>
      <c r="H162" s="24" t="str">
        <f>VLOOKUP(A162,'Informe 2025'!$A$5:$C$164,3,FALSE)</f>
        <v>Charla concientización sobre la discapacidad</v>
      </c>
      <c r="I162">
        <f>VLOOKUP(H162,'Informe 2025'!$C$6:$M$166,11,FALSE)</f>
        <v>2</v>
      </c>
    </row>
    <row r="163" spans="1:9" x14ac:dyDescent="0.25">
      <c r="A163" s="2">
        <v>15</v>
      </c>
      <c r="B163" t="str">
        <f>VLOOKUP(A163,'Informe 2025'!$1:$1048576,2,FALSE)</f>
        <v>ABRIL</v>
      </c>
      <c r="C163" t="s">
        <v>1632</v>
      </c>
      <c r="D163" s="20" t="str">
        <f>VLOOKUP(C163,ID!$1:$1048576,4,FALSE)</f>
        <v>103252</v>
      </c>
      <c r="E163" s="20" t="str">
        <f>VLOOKUP(C163,ID!$1:$1048576,3,FALSE)</f>
        <v xml:space="preserve"> DIEGO ADRIAN</v>
      </c>
      <c r="F163" s="20" t="str">
        <f>VLOOKUP(C163,ID!$1:$1048576,2,FALSE)</f>
        <v>BARREAU FLORES</v>
      </c>
      <c r="G163" s="2" t="str">
        <f>VLOOKUP(D163,CORREOS!$A$2:$B$570,2,FALSE)</f>
        <v>DBARREAU@antayhoteles.cl</v>
      </c>
      <c r="H163" s="24" t="str">
        <f>VLOOKUP(A163,'Informe 2025'!$A$5:$C$164,3,FALSE)</f>
        <v>Charla concientización sobre la discapacidad</v>
      </c>
      <c r="I163">
        <f>VLOOKUP(H163,'Informe 2025'!$C$6:$M$166,11,FALSE)</f>
        <v>2</v>
      </c>
    </row>
    <row r="164" spans="1:9" x14ac:dyDescent="0.25">
      <c r="A164" s="2">
        <v>15</v>
      </c>
      <c r="B164" t="str">
        <f>VLOOKUP(A164,'Informe 2025'!$1:$1048576,2,FALSE)</f>
        <v>ABRIL</v>
      </c>
      <c r="C164" t="s">
        <v>1815</v>
      </c>
      <c r="D164" s="20" t="str">
        <f>VLOOKUP(C164,ID!$1:$1048576,4,FALSE)</f>
        <v>104068</v>
      </c>
      <c r="E164" s="20" t="str">
        <f>VLOOKUP(C164,ID!$1:$1048576,3,FALSE)</f>
        <v xml:space="preserve"> BRANDON NICOLAS</v>
      </c>
      <c r="F164" s="20" t="str">
        <f>VLOOKUP(C164,ID!$1:$1048576,2,FALSE)</f>
        <v>GOMEZ LOBOS</v>
      </c>
      <c r="G164" s="2" t="str">
        <f>VLOOKUP(D164,CORREOS!$A$2:$B$570,2,FALSE)</f>
        <v>BGLOBOS@ANTAYHOTELES.CL</v>
      </c>
      <c r="H164" s="24" t="str">
        <f>VLOOKUP(A164,'Informe 2025'!$A$5:$C$164,3,FALSE)</f>
        <v>Charla concientización sobre la discapacidad</v>
      </c>
      <c r="I164">
        <f>VLOOKUP(H164,'Informe 2025'!$C$6:$M$166,11,FALSE)</f>
        <v>2</v>
      </c>
    </row>
    <row r="165" spans="1:9" x14ac:dyDescent="0.25">
      <c r="A165" s="2">
        <v>15</v>
      </c>
      <c r="B165" t="str">
        <f>VLOOKUP(A165,'Informe 2025'!$1:$1048576,2,FALSE)</f>
        <v>ABRIL</v>
      </c>
      <c r="C165" t="s">
        <v>486</v>
      </c>
      <c r="D165" s="20" t="str">
        <f>VLOOKUP(C165,ID!$1:$1048576,4,FALSE)</f>
        <v>102741</v>
      </c>
      <c r="E165" s="20" t="str">
        <f>VLOOKUP(C165,ID!$1:$1048576,3,FALSE)</f>
        <v xml:space="preserve"> ELIANA</v>
      </c>
      <c r="F165" s="20" t="str">
        <f>VLOOKUP(C165,ID!$1:$1048576,2,FALSE)</f>
        <v>RODAS SALCES</v>
      </c>
      <c r="G165" s="2" t="str">
        <f>VLOOKUP(D165,CORREOS!$A$2:$B$570,2,FALSE)</f>
        <v>ERODAS@ANTAYHOTELES.CL</v>
      </c>
      <c r="H165" s="24" t="str">
        <f>VLOOKUP(A165,'Informe 2025'!$A$5:$C$164,3,FALSE)</f>
        <v>Charla concientización sobre la discapacidad</v>
      </c>
      <c r="I165">
        <f>VLOOKUP(H165,'Informe 2025'!$C$6:$M$166,11,FALSE)</f>
        <v>2</v>
      </c>
    </row>
    <row r="166" spans="1:9" x14ac:dyDescent="0.25">
      <c r="A166" s="2">
        <v>15</v>
      </c>
      <c r="B166" t="str">
        <f>VLOOKUP(A166,'Informe 2025'!$1:$1048576,2,FALSE)</f>
        <v>ABRIL</v>
      </c>
      <c r="C166" t="s">
        <v>511</v>
      </c>
      <c r="D166" s="20" t="str">
        <f>VLOOKUP(C166,ID!$1:$1048576,4,FALSE)</f>
        <v>101536</v>
      </c>
      <c r="E166" s="20" t="str">
        <f>VLOOKUP(C166,ID!$1:$1048576,3,FALSE)</f>
        <v xml:space="preserve"> NICOLAS</v>
      </c>
      <c r="F166" s="20" t="str">
        <f>VLOOKUP(C166,ID!$1:$1048576,2,FALSE)</f>
        <v>TELLO BARREAU</v>
      </c>
      <c r="G166" s="2" t="str">
        <f>VLOOKUP(D166,CORREOS!$A$2:$B$570,2,FALSE)</f>
        <v>NICOLAS.TELLO@ANTAYHOTELES.CL</v>
      </c>
      <c r="H166" s="24" t="str">
        <f>VLOOKUP(A166,'Informe 2025'!$A$5:$C$164,3,FALSE)</f>
        <v>Charla concientización sobre la discapacidad</v>
      </c>
      <c r="I166">
        <f>VLOOKUP(H166,'Informe 2025'!$C$6:$M$166,11,FALSE)</f>
        <v>2</v>
      </c>
    </row>
    <row r="167" spans="1:9" x14ac:dyDescent="0.25">
      <c r="A167" s="2">
        <v>15</v>
      </c>
      <c r="B167" t="str">
        <f>VLOOKUP(A167,'Informe 2025'!$1:$1048576,2,FALSE)</f>
        <v>ABRIL</v>
      </c>
      <c r="C167" t="s">
        <v>401</v>
      </c>
      <c r="D167" s="20" t="str">
        <f>VLOOKUP(C167,ID!$1:$1048576,4,FALSE)</f>
        <v>103463</v>
      </c>
      <c r="E167" s="20" t="str">
        <f>VLOOKUP(C167,ID!$1:$1048576,3,FALSE)</f>
        <v xml:space="preserve"> MARCELO ALEJANDRO</v>
      </c>
      <c r="F167" s="20" t="str">
        <f>VLOOKUP(C167,ID!$1:$1048576,2,FALSE)</f>
        <v>LOPEZ VALDERRAMA</v>
      </c>
      <c r="G167" s="2" t="str">
        <f>VLOOKUP(D167,CORREOS!$A$2:$B$570,2,FALSE)</f>
        <v>MLVALDERRAMA@ANTAYHOTELES.CL</v>
      </c>
      <c r="H167" s="24" t="str">
        <f>VLOOKUP(A167,'Informe 2025'!$A$5:$C$164,3,FALSE)</f>
        <v>Charla concientización sobre la discapacidad</v>
      </c>
      <c r="I167">
        <f>VLOOKUP(H167,'Informe 2025'!$C$6:$M$166,11,FALSE)</f>
        <v>2</v>
      </c>
    </row>
    <row r="168" spans="1:9" x14ac:dyDescent="0.25">
      <c r="A168" s="2">
        <v>15</v>
      </c>
      <c r="B168" t="str">
        <f>VLOOKUP(A168,'Informe 2025'!$1:$1048576,2,FALSE)</f>
        <v>ABRIL</v>
      </c>
      <c r="C168" t="s">
        <v>434</v>
      </c>
      <c r="D168" s="20" t="str">
        <f>VLOOKUP(C168,ID!$1:$1048576,4,FALSE)</f>
        <v>103065</v>
      </c>
      <c r="E168" s="20" t="str">
        <f>VLOOKUP(C168,ID!$1:$1048576,3,FALSE)</f>
        <v xml:space="preserve"> FELIPE</v>
      </c>
      <c r="F168" s="20" t="str">
        <f>VLOOKUP(C168,ID!$1:$1048576,2,FALSE)</f>
        <v>NAVARRETE LISBOA</v>
      </c>
      <c r="G168" s="2" t="str">
        <f>VLOOKUP(D168,CORREOS!$A$2:$B$570,2,FALSE)</f>
        <v>FNAVARRETE@ANTAYHOTELES.CL</v>
      </c>
      <c r="H168" s="24" t="str">
        <f>VLOOKUP(A168,'Informe 2025'!$A$5:$C$164,3,FALSE)</f>
        <v>Charla concientización sobre la discapacidad</v>
      </c>
      <c r="I168">
        <f>VLOOKUP(H168,'Informe 2025'!$C$6:$M$166,11,FALSE)</f>
        <v>2</v>
      </c>
    </row>
    <row r="169" spans="1:9" x14ac:dyDescent="0.25">
      <c r="A169" s="2">
        <v>15</v>
      </c>
      <c r="B169" t="str">
        <f>VLOOKUP(A169,'Informe 2025'!$1:$1048576,2,FALSE)</f>
        <v>ABRIL</v>
      </c>
      <c r="C169" t="s">
        <v>1814</v>
      </c>
      <c r="D169" s="20" t="str">
        <f>VLOOKUP(C169,ID!$1:$1048576,4,FALSE)</f>
        <v>102600</v>
      </c>
      <c r="E169" s="20" t="str">
        <f>VLOOKUP(C169,ID!$1:$1048576,3,FALSE)</f>
        <v xml:space="preserve"> LUCA GUSTAVO</v>
      </c>
      <c r="F169" s="20" t="str">
        <f>VLOOKUP(C169,ID!$1:$1048576,2,FALSE)</f>
        <v>VALDOVINOS CODERCH</v>
      </c>
      <c r="G169" s="2" t="str">
        <f>VLOOKUP(D169,CORREOS!$A$2:$B$570,2,FALSE)</f>
        <v>LVALDOVINOS@ANTAYHOTELES.CL</v>
      </c>
      <c r="H169" s="24" t="str">
        <f>VLOOKUP(A169,'Informe 2025'!$A$5:$C$164,3,FALSE)</f>
        <v>Charla concientización sobre la discapacidad</v>
      </c>
      <c r="I169">
        <f>VLOOKUP(H169,'Informe 2025'!$C$6:$M$166,11,FALSE)</f>
        <v>2</v>
      </c>
    </row>
    <row r="170" spans="1:9" x14ac:dyDescent="0.25">
      <c r="A170" s="2">
        <v>15</v>
      </c>
      <c r="B170" t="str">
        <f>VLOOKUP(A170,'Informe 2025'!$1:$1048576,2,FALSE)</f>
        <v>ABRIL</v>
      </c>
      <c r="C170" t="s">
        <v>267</v>
      </c>
      <c r="D170" s="20" t="str">
        <f>VLOOKUP(C170,ID!$1:$1048576,4,FALSE)</f>
        <v>103457</v>
      </c>
      <c r="E170" s="20" t="str">
        <f>VLOOKUP(C170,ID!$1:$1048576,3,FALSE)</f>
        <v xml:space="preserve"> MARCELO ORLANDO</v>
      </c>
      <c r="F170" s="20" t="str">
        <f>VLOOKUP(C170,ID!$1:$1048576,2,FALSE)</f>
        <v>ARELLANO TARQUI</v>
      </c>
      <c r="G170" s="2" t="str">
        <f>VLOOKUP(D170,CORREOS!$A$2:$B$570,2,FALSE)</f>
        <v>MARELLANO@ANTAYHOTELES.CL</v>
      </c>
      <c r="H170" s="24" t="str">
        <f>VLOOKUP(A170,'Informe 2025'!$A$5:$C$164,3,FALSE)</f>
        <v>Charla concientización sobre la discapacidad</v>
      </c>
      <c r="I170">
        <f>VLOOKUP(H170,'Informe 2025'!$C$6:$M$166,11,FALSE)</f>
        <v>2</v>
      </c>
    </row>
    <row r="171" spans="1:9" x14ac:dyDescent="0.25">
      <c r="A171" s="2">
        <v>15</v>
      </c>
      <c r="B171" t="str">
        <f>VLOOKUP(A171,'Informe 2025'!$1:$1048576,2,FALSE)</f>
        <v>ABRIL</v>
      </c>
      <c r="C171" t="s">
        <v>1810</v>
      </c>
      <c r="D171" s="20" t="str">
        <f>VLOOKUP(C171,ID!$1:$1048576,4,FALSE)</f>
        <v>101425</v>
      </c>
      <c r="E171" s="20" t="str">
        <f>VLOOKUP(C171,ID!$1:$1048576,3,FALSE)</f>
        <v xml:space="preserve"> KAREN PAMELA</v>
      </c>
      <c r="F171" s="20" t="str">
        <f>VLOOKUP(C171,ID!$1:$1048576,2,FALSE)</f>
        <v>SANTANA JUAREZ</v>
      </c>
      <c r="G171" s="2" t="str">
        <f>VLOOKUP(D171,CORREOS!$A$2:$B$570,2,FALSE)</f>
        <v>KARENPAMELA.SANTANA@antayhoteles.cl</v>
      </c>
      <c r="H171" s="24" t="str">
        <f>VLOOKUP(A171,'Informe 2025'!$A$5:$C$164,3,FALSE)</f>
        <v>Charla concientización sobre la discapacidad</v>
      </c>
      <c r="I171">
        <f>VLOOKUP(H171,'Informe 2025'!$C$6:$M$166,11,FALSE)</f>
        <v>2</v>
      </c>
    </row>
    <row r="172" spans="1:9" x14ac:dyDescent="0.25">
      <c r="A172" s="2">
        <v>15</v>
      </c>
      <c r="B172" t="str">
        <f>VLOOKUP(A172,'Informe 2025'!$1:$1048576,2,FALSE)</f>
        <v>ABRIL</v>
      </c>
      <c r="C172" t="s">
        <v>1851</v>
      </c>
      <c r="D172" s="20" t="str">
        <f>VLOOKUP(C172,ID!$1:$1048576,4,FALSE)</f>
        <v>103895</v>
      </c>
      <c r="E172" s="20" t="str">
        <f>VLOOKUP(C172,ID!$1:$1048576,3,FALSE)</f>
        <v xml:space="preserve"> VICENTE ALONSO</v>
      </c>
      <c r="F172" s="20" t="str">
        <f>VLOOKUP(C172,ID!$1:$1048576,2,FALSE)</f>
        <v>ZUMARAN JORQUERA</v>
      </c>
      <c r="G172" s="2" t="str">
        <f>VLOOKUP(D172,CORREOS!$A$2:$B$570,2,FALSE)</f>
        <v>VZUMARAN@ANTAYHOTELES.CL</v>
      </c>
      <c r="H172" s="24" t="str">
        <f>VLOOKUP(A172,'Informe 2025'!$A$5:$C$164,3,FALSE)</f>
        <v>Charla concientización sobre la discapacidad</v>
      </c>
      <c r="I172">
        <f>VLOOKUP(H172,'Informe 2025'!$C$6:$M$166,11,FALSE)</f>
        <v>2</v>
      </c>
    </row>
    <row r="173" spans="1:9" x14ac:dyDescent="0.25">
      <c r="A173" s="2">
        <v>15</v>
      </c>
      <c r="B173" t="str">
        <f>VLOOKUP(A173,'Informe 2025'!$1:$1048576,2,FALSE)</f>
        <v>ABRIL</v>
      </c>
      <c r="C173" t="s">
        <v>1633</v>
      </c>
      <c r="D173" s="20" t="str">
        <f>VLOOKUP(C173,ID!$1:$1048576,4,FALSE)</f>
        <v>103483</v>
      </c>
      <c r="E173" s="20" t="str">
        <f>VLOOKUP(C173,ID!$1:$1048576,3,FALSE)</f>
        <v xml:space="preserve"> GIOVANNY JEFFRY</v>
      </c>
      <c r="F173" s="20" t="str">
        <f>VLOOKUP(C173,ID!$1:$1048576,2,FALSE)</f>
        <v>BASAEZ PINTO</v>
      </c>
      <c r="G173" s="2" t="str">
        <f>VLOOKUP(D173,CORREOS!$A$2:$B$570,2,FALSE)</f>
        <v>GBASAEZ@antayhoteles.cl</v>
      </c>
      <c r="H173" s="24" t="str">
        <f>VLOOKUP(A173,'Informe 2025'!$A$5:$C$164,3,FALSE)</f>
        <v>Charla concientización sobre la discapacidad</v>
      </c>
      <c r="I173">
        <f>VLOOKUP(H173,'Informe 2025'!$C$6:$M$166,11,FALSE)</f>
        <v>2</v>
      </c>
    </row>
    <row r="174" spans="1:9" x14ac:dyDescent="0.25">
      <c r="A174" s="2">
        <v>15</v>
      </c>
      <c r="B174" t="str">
        <f>VLOOKUP(A174,'Informe 2025'!$1:$1048576,2,FALSE)</f>
        <v>ABRIL</v>
      </c>
      <c r="C174" t="s">
        <v>259</v>
      </c>
      <c r="D174" s="20" t="str">
        <f>VLOOKUP(C174,ID!$1:$1048576,4,FALSE)</f>
        <v>101768</v>
      </c>
      <c r="E174" s="20" t="str">
        <f>VLOOKUP(C174,ID!$1:$1048576,3,FALSE)</f>
        <v xml:space="preserve"> GONZALO EDUARDO</v>
      </c>
      <c r="F174" s="20" t="str">
        <f>VLOOKUP(C174,ID!$1:$1048576,2,FALSE)</f>
        <v>ANTEZANA POBLETE</v>
      </c>
      <c r="G174" s="2" t="str">
        <f>VLOOKUP(D174,CORREOS!$A$2:$B$570,2,FALSE)</f>
        <v>GANTEZANA@ANTAYHOTELES.CL</v>
      </c>
      <c r="H174" s="24" t="str">
        <f>VLOOKUP(A174,'Informe 2025'!$A$5:$C$164,3,FALSE)</f>
        <v>Charla concientización sobre la discapacidad</v>
      </c>
      <c r="I174">
        <f>VLOOKUP(H174,'Informe 2025'!$C$6:$M$166,11,FALSE)</f>
        <v>2</v>
      </c>
    </row>
    <row r="175" spans="1:9" x14ac:dyDescent="0.25">
      <c r="A175" s="2">
        <v>15</v>
      </c>
      <c r="B175" t="str">
        <f>VLOOKUP(A175,'Informe 2025'!$1:$1048576,2,FALSE)</f>
        <v>ABRIL</v>
      </c>
      <c r="C175" t="s">
        <v>1605</v>
      </c>
      <c r="D175" s="20" t="str">
        <f>VLOOKUP(C175,ID!$1:$1048576,4,FALSE)</f>
        <v>101934</v>
      </c>
      <c r="E175" s="20" t="str">
        <f>VLOOKUP(C175,ID!$1:$1048576,3,FALSE)</f>
        <v xml:space="preserve"> ANAHI GRACIELA</v>
      </c>
      <c r="F175" s="20" t="str">
        <f>VLOOKUP(C175,ID!$1:$1048576,2,FALSE)</f>
        <v>VENTURA AJAYE</v>
      </c>
      <c r="G175" s="2" t="str">
        <f>VLOOKUP(D175,CORREOS!$A$2:$B$570,2,FALSE)</f>
        <v>AVAJAYE@ANTAYHOTELES.CL</v>
      </c>
      <c r="H175" s="24" t="str">
        <f>VLOOKUP(A175,'Informe 2025'!$A$5:$C$164,3,FALSE)</f>
        <v>Charla concientización sobre la discapacidad</v>
      </c>
      <c r="I175">
        <f>VLOOKUP(H175,'Informe 2025'!$C$6:$M$166,11,FALSE)</f>
        <v>2</v>
      </c>
    </row>
    <row r="176" spans="1:9" x14ac:dyDescent="0.25">
      <c r="A176" s="2">
        <v>15</v>
      </c>
      <c r="B176" t="str">
        <f>VLOOKUP(A176,'Informe 2025'!$1:$1048576,2,FALSE)</f>
        <v>ABRIL</v>
      </c>
      <c r="C176" t="s">
        <v>431</v>
      </c>
      <c r="D176" s="20" t="str">
        <f>VLOOKUP(C176,ID!$1:$1048576,4,FALSE)</f>
        <v>102865</v>
      </c>
      <c r="E176" s="20" t="str">
        <f>VLOOKUP(C176,ID!$1:$1048576,3,FALSE)</f>
        <v xml:space="preserve"> CARLA ISABEL</v>
      </c>
      <c r="F176" s="20" t="str">
        <f>VLOOKUP(C176,ID!$1:$1048576,2,FALSE)</f>
        <v>MURUA GARCIA</v>
      </c>
      <c r="G176" s="2" t="str">
        <f>VLOOKUP(D176,CORREOS!$A$2:$B$570,2,FALSE)</f>
        <v>CMURUA@ANTAYHOTELES.CL</v>
      </c>
      <c r="H176" s="24" t="str">
        <f>VLOOKUP(A176,'Informe 2025'!$A$5:$C$164,3,FALSE)</f>
        <v>Charla concientización sobre la discapacidad</v>
      </c>
      <c r="I176">
        <f>VLOOKUP(H176,'Informe 2025'!$C$6:$M$166,11,FALSE)</f>
        <v>2</v>
      </c>
    </row>
    <row r="177" spans="1:9" x14ac:dyDescent="0.25">
      <c r="A177" s="2">
        <v>15</v>
      </c>
      <c r="B177" t="str">
        <f>VLOOKUP(A177,'Informe 2025'!$1:$1048576,2,FALSE)</f>
        <v>ABRIL</v>
      </c>
      <c r="C177" t="s">
        <v>364</v>
      </c>
      <c r="D177" s="20" t="str">
        <f>VLOOKUP(C177,ID!$1:$1048576,4,FALSE)</f>
        <v>102982</v>
      </c>
      <c r="E177" s="20" t="str">
        <f>VLOOKUP(C177,ID!$1:$1048576,3,FALSE)</f>
        <v xml:space="preserve"> CELINA</v>
      </c>
      <c r="F177" s="20" t="str">
        <f>VLOOKUP(C177,ID!$1:$1048576,2,FALSE)</f>
        <v>GOMEZ OJEDA</v>
      </c>
      <c r="G177" s="2" t="str">
        <f>VLOOKUP(D177,CORREOS!$A$2:$B$570,2,FALSE)</f>
        <v>CGOJEDA@ANTAYHOTELES.CL</v>
      </c>
      <c r="H177" s="24" t="str">
        <f>VLOOKUP(A177,'Informe 2025'!$A$5:$C$164,3,FALSE)</f>
        <v>Charla concientización sobre la discapacidad</v>
      </c>
      <c r="I177">
        <f>VLOOKUP(H177,'Informe 2025'!$C$6:$M$166,11,FALSE)</f>
        <v>2</v>
      </c>
    </row>
    <row r="178" spans="1:9" x14ac:dyDescent="0.25">
      <c r="A178" s="2">
        <v>15</v>
      </c>
      <c r="B178" t="str">
        <f>VLOOKUP(A178,'Informe 2025'!$1:$1048576,2,FALSE)</f>
        <v>ABRIL</v>
      </c>
      <c r="C178" t="s">
        <v>256</v>
      </c>
      <c r="D178" s="20" t="str">
        <f>VLOOKUP(C178,ID!$1:$1048576,4,FALSE)</f>
        <v>102830</v>
      </c>
      <c r="E178" s="20" t="str">
        <f>VLOOKUP(C178,ID!$1:$1048576,3,FALSE)</f>
        <v xml:space="preserve"> JENNY</v>
      </c>
      <c r="F178" s="20" t="str">
        <f>VLOOKUP(C178,ID!$1:$1048576,2,FALSE)</f>
        <v>ALVAREZ USECHE</v>
      </c>
      <c r="G178" s="2" t="str">
        <f>VLOOKUP(D178,CORREOS!$A$2:$B$570,2,FALSE)</f>
        <v>JAUSECHE@ANTAYHOTELES.CL</v>
      </c>
      <c r="H178" s="24" t="str">
        <f>VLOOKUP(A178,'Informe 2025'!$A$5:$C$164,3,FALSE)</f>
        <v>Charla concientización sobre la discapacidad</v>
      </c>
      <c r="I178">
        <f>VLOOKUP(H178,'Informe 2025'!$C$6:$M$166,11,FALSE)</f>
        <v>2</v>
      </c>
    </row>
    <row r="179" spans="1:9" x14ac:dyDescent="0.25">
      <c r="A179" s="2">
        <v>15</v>
      </c>
      <c r="B179" t="str">
        <f>VLOOKUP(A179,'Informe 2025'!$1:$1048576,2,FALSE)</f>
        <v>ABRIL</v>
      </c>
      <c r="C179" t="s">
        <v>442</v>
      </c>
      <c r="D179" s="20" t="str">
        <f>VLOOKUP(C179,ID!$1:$1048576,4,FALSE)</f>
        <v>103675</v>
      </c>
      <c r="E179" s="20" t="str">
        <f>VLOOKUP(C179,ID!$1:$1048576,3,FALSE)</f>
        <v xml:space="preserve"> EMPERATRIZ TERESA</v>
      </c>
      <c r="F179" s="20" t="str">
        <f>VLOOKUP(C179,ID!$1:$1048576,2,FALSE)</f>
        <v>OLIVEROS JULIO</v>
      </c>
      <c r="G179" s="2" t="str">
        <f>VLOOKUP(D179,CORREOS!$A$2:$B$570,2,FALSE)</f>
        <v>EOLIVEROS@ANTAYHOTELES.CL</v>
      </c>
      <c r="H179" s="24" t="str">
        <f>VLOOKUP(A179,'Informe 2025'!$A$5:$C$164,3,FALSE)</f>
        <v>Charla concientización sobre la discapacidad</v>
      </c>
      <c r="I179">
        <f>VLOOKUP(H179,'Informe 2025'!$C$6:$M$166,11,FALSE)</f>
        <v>2</v>
      </c>
    </row>
    <row r="180" spans="1:9" x14ac:dyDescent="0.25">
      <c r="A180" s="2">
        <v>16</v>
      </c>
      <c r="B180" t="str">
        <f>VLOOKUP(A180,'Informe 2025'!$1:$1048576,2,FALSE)</f>
        <v>ABRIL</v>
      </c>
      <c r="C180" t="s">
        <v>372</v>
      </c>
      <c r="D180" s="20" t="str">
        <f>VLOOKUP(C180,ID!$1:$1048576,4,FALSE)</f>
        <v>103010</v>
      </c>
      <c r="E180" s="20" t="str">
        <f>VLOOKUP(C180,ID!$1:$1048576,3,FALSE)</f>
        <v xml:space="preserve"> FERNANDO</v>
      </c>
      <c r="F180" s="20" t="str">
        <f>VLOOKUP(C180,ID!$1:$1048576,2,FALSE)</f>
        <v>GONZALEZ OROZCO</v>
      </c>
      <c r="G180" s="2" t="str">
        <f>VLOOKUP(D180,CORREOS!$A$2:$B$570,2,FALSE)</f>
        <v>FGOROZCO@ANTAYHOTELES.CL</v>
      </c>
      <c r="H180" s="24" t="str">
        <f>VLOOKUP(A180,'Informe 2025'!$A$5:$C$164,3,FALSE)</f>
        <v>Tutor "capsula servicio e imagen"</v>
      </c>
      <c r="I180">
        <f>VLOOKUP(H180,'Informe 2025'!$C$6:$M$166,11,FALSE)</f>
        <v>2</v>
      </c>
    </row>
    <row r="181" spans="1:9" x14ac:dyDescent="0.25">
      <c r="A181" s="2">
        <v>16</v>
      </c>
      <c r="B181" t="str">
        <f>VLOOKUP(A181,'Informe 2025'!$1:$1048576,2,FALSE)</f>
        <v>ABRIL</v>
      </c>
      <c r="C181" t="s">
        <v>314</v>
      </c>
      <c r="D181" s="20" t="str">
        <f>VLOOKUP(C181,ID!$1:$1048576,4,FALSE)</f>
        <v>102849</v>
      </c>
      <c r="E181" s="20" t="str">
        <f>VLOOKUP(C181,ID!$1:$1048576,3,FALSE)</f>
        <v xml:space="preserve"> CRISTOBAL HUMBERTO</v>
      </c>
      <c r="F181" s="20" t="str">
        <f>VLOOKUP(C181,ID!$1:$1048576,2,FALSE)</f>
        <v>CONDORI CARVAJAL</v>
      </c>
      <c r="G181" s="2" t="str">
        <f>VLOOKUP(D181,CORREOS!$A$2:$B$570,2,FALSE)</f>
        <v>CCONDORI@ANTAYHOTELES.CL</v>
      </c>
      <c r="H181" s="24" t="str">
        <f>VLOOKUP(A181,'Informe 2025'!$A$5:$C$164,3,FALSE)</f>
        <v>Tutor "capsula servicio e imagen"</v>
      </c>
      <c r="I181">
        <f>VLOOKUP(H181,'Informe 2025'!$C$6:$M$166,11,FALSE)</f>
        <v>2</v>
      </c>
    </row>
    <row r="182" spans="1:9" x14ac:dyDescent="0.25">
      <c r="A182" s="2">
        <v>16</v>
      </c>
      <c r="B182" t="str">
        <f>VLOOKUP(A182,'Informe 2025'!$1:$1048576,2,FALSE)</f>
        <v>ABRIL</v>
      </c>
      <c r="C182" t="s">
        <v>274</v>
      </c>
      <c r="D182" s="20" t="str">
        <f>VLOOKUP(C182,ID!$1:$1048576,4,FALSE)</f>
        <v>103084</v>
      </c>
      <c r="E182" s="20" t="str">
        <f>VLOOKUP(C182,ID!$1:$1048576,3,FALSE)</f>
        <v xml:space="preserve"> BASTIAN ANDRES</v>
      </c>
      <c r="F182" s="20" t="str">
        <f>VLOOKUP(C182,ID!$1:$1048576,2,FALSE)</f>
        <v>ARRIAGADA PALTA</v>
      </c>
      <c r="G182" s="2" t="str">
        <f>VLOOKUP(D182,CORREOS!$A$2:$B$570,2,FALSE)</f>
        <v>BARRIAGADA@ANTAYHOTELES.CL</v>
      </c>
      <c r="H182" s="24" t="str">
        <f>VLOOKUP(A182,'Informe 2025'!$A$5:$C$164,3,FALSE)</f>
        <v>Tutor "capsula servicio e imagen"</v>
      </c>
      <c r="I182">
        <f>VLOOKUP(H182,'Informe 2025'!$C$6:$M$166,11,FALSE)</f>
        <v>2</v>
      </c>
    </row>
    <row r="183" spans="1:9" x14ac:dyDescent="0.25">
      <c r="A183" s="2">
        <v>16</v>
      </c>
      <c r="B183" t="str">
        <f>VLOOKUP(A183,'Informe 2025'!$1:$1048576,2,FALSE)</f>
        <v>ABRIL</v>
      </c>
      <c r="C183" t="s">
        <v>303</v>
      </c>
      <c r="D183" s="20" t="str">
        <f>VLOOKUP(C183,ID!$1:$1048576,4,FALSE)</f>
        <v>102829</v>
      </c>
      <c r="E183" s="20" t="str">
        <f>VLOOKUP(C183,ID!$1:$1048576,3,FALSE)</f>
        <v xml:space="preserve"> WILSON DENNIS</v>
      </c>
      <c r="F183" s="20" t="str">
        <f>VLOOKUP(C183,ID!$1:$1048576,2,FALSE)</f>
        <v>CASTILLO PEREZ</v>
      </c>
      <c r="G183" s="2" t="str">
        <f>VLOOKUP(D183,CORREOS!$A$2:$B$570,2,FALSE)</f>
        <v>WCASTILLO@CL.LUCKIA.COM</v>
      </c>
      <c r="H183" s="24" t="str">
        <f>VLOOKUP(A183,'Informe 2025'!$A$5:$C$164,3,FALSE)</f>
        <v>Tutor "capsula servicio e imagen"</v>
      </c>
      <c r="I183">
        <f>VLOOKUP(H183,'Informe 2025'!$C$6:$M$166,11,FALSE)</f>
        <v>2</v>
      </c>
    </row>
    <row r="184" spans="1:9" x14ac:dyDescent="0.25">
      <c r="A184" s="2">
        <v>16</v>
      </c>
      <c r="B184" t="str">
        <f>VLOOKUP(A184,'Informe 2025'!$1:$1048576,2,FALSE)</f>
        <v>ABRIL</v>
      </c>
      <c r="C184" t="s">
        <v>339</v>
      </c>
      <c r="D184" s="20" t="str">
        <f>VLOOKUP(C184,ID!$1:$1048576,4,FALSE)</f>
        <v>101938</v>
      </c>
      <c r="E184" s="20" t="str">
        <f>VLOOKUP(C184,ID!$1:$1048576,3,FALSE)</f>
        <v xml:space="preserve"> LORETO ANDREA</v>
      </c>
      <c r="F184" s="20" t="str">
        <f>VLOOKUP(C184,ID!$1:$1048576,2,FALSE)</f>
        <v>FERNANDEZ GONZALEZ</v>
      </c>
      <c r="G184" s="2" t="str">
        <f>VLOOKUP(D184,CORREOS!$A$2:$B$570,2,FALSE)</f>
        <v>LFGONZALEZ@CL.LUCKIA.COM</v>
      </c>
      <c r="H184" s="24" t="str">
        <f>VLOOKUP(A184,'Informe 2025'!$A$5:$C$164,3,FALSE)</f>
        <v>Tutor "capsula servicio e imagen"</v>
      </c>
      <c r="I184">
        <f>VLOOKUP(H184,'Informe 2025'!$C$6:$M$166,11,FALSE)</f>
        <v>2</v>
      </c>
    </row>
    <row r="185" spans="1:9" x14ac:dyDescent="0.25">
      <c r="A185" s="2">
        <v>16</v>
      </c>
      <c r="B185" t="str">
        <f>VLOOKUP(A185,'Informe 2025'!$1:$1048576,2,FALSE)</f>
        <v>ABRIL</v>
      </c>
      <c r="C185" t="s">
        <v>271</v>
      </c>
      <c r="D185" s="20" t="str">
        <f>VLOOKUP(C185,ID!$1:$1048576,4,FALSE)</f>
        <v>102903</v>
      </c>
      <c r="E185" s="20" t="str">
        <f>VLOOKUP(C185,ID!$1:$1048576,3,FALSE)</f>
        <v xml:space="preserve"> KEVIN MARCELO</v>
      </c>
      <c r="F185" s="20" t="str">
        <f>VLOOKUP(C185,ID!$1:$1048576,2,FALSE)</f>
        <v>AROS CASTRO</v>
      </c>
      <c r="G185" s="2" t="str">
        <f>VLOOKUP(D185,CORREOS!$A$2:$B$570,2,FALSE)</f>
        <v>KAROS@ANTAYHOTELES.CL</v>
      </c>
      <c r="H185" s="24" t="str">
        <f>VLOOKUP(A185,'Informe 2025'!$A$5:$C$164,3,FALSE)</f>
        <v>Tutor "capsula servicio e imagen"</v>
      </c>
      <c r="I185">
        <f>VLOOKUP(H185,'Informe 2025'!$C$6:$M$166,11,FALSE)</f>
        <v>2</v>
      </c>
    </row>
    <row r="186" spans="1:9" x14ac:dyDescent="0.25">
      <c r="A186" s="2">
        <v>16</v>
      </c>
      <c r="B186" t="str">
        <f>VLOOKUP(A186,'Informe 2025'!$1:$1048576,2,FALSE)</f>
        <v>ABRIL</v>
      </c>
      <c r="C186" t="s">
        <v>395</v>
      </c>
      <c r="D186" s="20" t="str">
        <f>VLOOKUP(C186,ID!$1:$1048576,4,FALSE)</f>
        <v>102063</v>
      </c>
      <c r="E186" s="20" t="str">
        <f>VLOOKUP(C186,ID!$1:$1048576,3,FALSE)</f>
        <v xml:space="preserve"> MICHELLE ANNETTE</v>
      </c>
      <c r="F186" s="20" t="str">
        <f>VLOOKUP(C186,ID!$1:$1048576,2,FALSE)</f>
        <v>LEAL LEYTON</v>
      </c>
      <c r="G186" s="2" t="str">
        <f>VLOOKUP(D186,CORREOS!$A$2:$B$570,2,FALSE)</f>
        <v>MLEAL@CL.LUCKIA.COM</v>
      </c>
      <c r="H186" s="24" t="str">
        <f>VLOOKUP(A186,'Informe 2025'!$A$5:$C$164,3,FALSE)</f>
        <v>Tutor "capsula servicio e imagen"</v>
      </c>
      <c r="I186">
        <f>VLOOKUP(H186,'Informe 2025'!$C$6:$M$166,11,FALSE)</f>
        <v>2</v>
      </c>
    </row>
    <row r="187" spans="1:9" x14ac:dyDescent="0.25">
      <c r="A187" s="2">
        <v>16</v>
      </c>
      <c r="B187" t="str">
        <f>VLOOKUP(A187,'Informe 2025'!$1:$1048576,2,FALSE)</f>
        <v>ABRIL</v>
      </c>
      <c r="C187" t="s">
        <v>283</v>
      </c>
      <c r="D187" s="20" t="str">
        <f>VLOOKUP(C187,ID!$1:$1048576,4,FALSE)</f>
        <v>102996</v>
      </c>
      <c r="E187" s="20" t="str">
        <f>VLOOKUP(C187,ID!$1:$1048576,3,FALSE)</f>
        <v xml:space="preserve"> CATALINA VICTORIA</v>
      </c>
      <c r="F187" s="20" t="str">
        <f>VLOOKUP(C187,ID!$1:$1048576,2,FALSE)</f>
        <v>CABEZAS MENA</v>
      </c>
      <c r="G187" s="2" t="str">
        <f>VLOOKUP(D187,CORREOS!$A$2:$B$570,2,FALSE)</f>
        <v>CCABEZAS@ANTAYHOTELES.CL</v>
      </c>
      <c r="H187" s="24" t="str">
        <f>VLOOKUP(A187,'Informe 2025'!$A$5:$C$164,3,FALSE)</f>
        <v>Tutor "capsula servicio e imagen"</v>
      </c>
      <c r="I187">
        <f>VLOOKUP(H187,'Informe 2025'!$C$6:$M$166,11,FALSE)</f>
        <v>2</v>
      </c>
    </row>
    <row r="188" spans="1:9" x14ac:dyDescent="0.25">
      <c r="A188" s="2">
        <v>16</v>
      </c>
      <c r="B188" t="str">
        <f>VLOOKUP(A188,'Informe 2025'!$1:$1048576,2,FALSE)</f>
        <v>ABRIL</v>
      </c>
      <c r="C188" t="s">
        <v>1812</v>
      </c>
      <c r="D188" s="20" t="str">
        <f>VLOOKUP(C188,ID!$1:$1048576,4,FALSE)</f>
        <v>102795</v>
      </c>
      <c r="E188" s="20" t="str">
        <f>VLOOKUP(C188,ID!$1:$1048576,3,FALSE)</f>
        <v xml:space="preserve"> CATALINA FRANCISCA</v>
      </c>
      <c r="F188" s="20" t="str">
        <f>VLOOKUP(C188,ID!$1:$1048576,2,FALSE)</f>
        <v>CONTRERAS GONZALEZ</v>
      </c>
      <c r="G188" s="2" t="str">
        <f>VLOOKUP(D188,CORREOS!$A$2:$B$570,2,FALSE)</f>
        <v>CCGONZALEZ@ANTAYHOTELES.CL</v>
      </c>
      <c r="H188" s="24" t="str">
        <f>VLOOKUP(A188,'Informe 2025'!$A$5:$C$164,3,FALSE)</f>
        <v>Tutor "capsula servicio e imagen"</v>
      </c>
      <c r="I188">
        <f>VLOOKUP(H188,'Informe 2025'!$C$6:$M$166,11,FALSE)</f>
        <v>2</v>
      </c>
    </row>
    <row r="189" spans="1:9" x14ac:dyDescent="0.25">
      <c r="A189" s="2">
        <v>16</v>
      </c>
      <c r="B189" t="str">
        <f>VLOOKUP(A189,'Informe 2025'!$1:$1048576,2,FALSE)</f>
        <v>ABRIL</v>
      </c>
      <c r="C189" t="s">
        <v>251</v>
      </c>
      <c r="D189" s="20" t="str">
        <f>VLOOKUP(C189,ID!$1:$1048576,4,FALSE)</f>
        <v>102611</v>
      </c>
      <c r="E189" s="20" t="str">
        <f>VLOOKUP(C189,ID!$1:$1048576,3,FALSE)</f>
        <v xml:space="preserve"> DIEGO ALEXIS</v>
      </c>
      <c r="F189" s="20" t="str">
        <f>VLOOKUP(C189,ID!$1:$1048576,2,FALSE)</f>
        <v>ALID ALID</v>
      </c>
      <c r="G189" s="2" t="str">
        <f>VLOOKUP(D189,CORREOS!$A$2:$B$570,2,FALSE)</f>
        <v>DALID@ANTAYHOTELES.CL</v>
      </c>
      <c r="H189" s="24" t="str">
        <f>VLOOKUP(A189,'Informe 2025'!$A$5:$C$164,3,FALSE)</f>
        <v>Tutor "capsula servicio e imagen"</v>
      </c>
      <c r="I189">
        <f>VLOOKUP(H189,'Informe 2025'!$C$6:$M$166,11,FALSE)</f>
        <v>2</v>
      </c>
    </row>
    <row r="190" spans="1:9" x14ac:dyDescent="0.25">
      <c r="A190" s="2">
        <v>16</v>
      </c>
      <c r="B190" t="str">
        <f>VLOOKUP(A190,'Informe 2025'!$1:$1048576,2,FALSE)</f>
        <v>ABRIL</v>
      </c>
      <c r="C190" t="s">
        <v>365</v>
      </c>
      <c r="D190" s="20" t="str">
        <f>VLOOKUP(C190,ID!$1:$1048576,4,FALSE)</f>
        <v>101556</v>
      </c>
      <c r="E190" s="20" t="str">
        <f>VLOOKUP(C190,ID!$1:$1048576,3,FALSE)</f>
        <v xml:space="preserve"> VANIA ORIELE</v>
      </c>
      <c r="F190" s="20" t="str">
        <f>VLOOKUP(C190,ID!$1:$1048576,2,FALSE)</f>
        <v>GOMEZ VEGA</v>
      </c>
      <c r="G190" s="2" t="str">
        <f>VLOOKUP(D190,CORREOS!$A$2:$B$570,2,FALSE)</f>
        <v>VGOMEZ@ANTAYHOTELES.CL</v>
      </c>
      <c r="H190" s="24" t="str">
        <f>VLOOKUP(A190,'Informe 2025'!$A$5:$C$164,3,FALSE)</f>
        <v>Tutor "capsula servicio e imagen"</v>
      </c>
      <c r="I190">
        <f>VLOOKUP(H190,'Informe 2025'!$C$6:$M$166,11,FALSE)</f>
        <v>2</v>
      </c>
    </row>
    <row r="191" spans="1:9" x14ac:dyDescent="0.25">
      <c r="A191" s="2">
        <v>16</v>
      </c>
      <c r="B191" t="str">
        <f>VLOOKUP(A191,'Informe 2025'!$1:$1048576,2,FALSE)</f>
        <v>ABRIL</v>
      </c>
      <c r="C191" s="25" t="s">
        <v>396</v>
      </c>
      <c r="D191" s="20" t="str">
        <f>VLOOKUP(C191,ID!$1:$1048576,4,FALSE)</f>
        <v>103277</v>
      </c>
      <c r="E191" s="20" t="str">
        <f>VLOOKUP(C191,ID!$1:$1048576,3,FALSE)</f>
        <v xml:space="preserve"> GUNNAR</v>
      </c>
      <c r="F191" s="20" t="str">
        <f>VLOOKUP(C191,ID!$1:$1048576,2,FALSE)</f>
        <v>LEYTON RODAS</v>
      </c>
      <c r="G191" s="2" t="str">
        <f>VLOOKUP(D191,CORREOS!$A$2:$B$570,2,FALSE)</f>
        <v>GLEYTON@ANTAYHOTELES.CL</v>
      </c>
      <c r="H191" s="24" t="str">
        <f>VLOOKUP(A191,'Informe 2025'!$A$5:$C$164,3,FALSE)</f>
        <v>Tutor "capsula servicio e imagen"</v>
      </c>
      <c r="I191">
        <f>VLOOKUP(H191,'Informe 2025'!$C$6:$M$166,11,FALSE)</f>
        <v>2</v>
      </c>
    </row>
    <row r="192" spans="1:9" x14ac:dyDescent="0.25">
      <c r="A192" s="2">
        <v>16</v>
      </c>
      <c r="B192" t="str">
        <f>VLOOKUP(A192,'Informe 2025'!$1:$1048576,2,FALSE)</f>
        <v>ABRIL</v>
      </c>
      <c r="C192" s="25" t="s">
        <v>390</v>
      </c>
      <c r="D192" s="20" t="str">
        <f>VLOOKUP(C192,ID!$1:$1048576,4,FALSE)</f>
        <v>102642</v>
      </c>
      <c r="E192" s="20" t="str">
        <f>VLOOKUP(C192,ID!$1:$1048576,3,FALSE)</f>
        <v xml:space="preserve"> JOSE LUIS</v>
      </c>
      <c r="F192" s="20" t="str">
        <f>VLOOKUP(C192,ID!$1:$1048576,2,FALSE)</f>
        <v>JIMENEZ VILLALOBOS</v>
      </c>
      <c r="G192" s="2" t="str">
        <f>VLOOKUP(D192,CORREOS!$A$2:$B$570,2,FALSE)</f>
        <v>JJVILLALOBOS@ANTAYHOTELES.CL</v>
      </c>
      <c r="H192" s="24" t="str">
        <f>VLOOKUP(A192,'Informe 2025'!$A$5:$C$164,3,FALSE)</f>
        <v>Tutor "capsula servicio e imagen"</v>
      </c>
      <c r="I192">
        <f>VLOOKUP(H192,'Informe 2025'!$C$6:$M$166,11,FALSE)</f>
        <v>2</v>
      </c>
    </row>
    <row r="193" spans="1:9" x14ac:dyDescent="0.25">
      <c r="A193" s="2">
        <v>16</v>
      </c>
      <c r="B193" t="str">
        <f>VLOOKUP(A193,'Informe 2025'!$1:$1048576,2,FALSE)</f>
        <v>ABRIL</v>
      </c>
      <c r="C193" t="s">
        <v>248</v>
      </c>
      <c r="D193" s="20" t="str">
        <f>VLOOKUP(C193,ID!$1:$1048576,4,FALSE)</f>
        <v>102546</v>
      </c>
      <c r="E193" s="20" t="str">
        <f>VLOOKUP(C193,ID!$1:$1048576,3,FALSE)</f>
        <v xml:space="preserve"> NICOLAS</v>
      </c>
      <c r="F193" s="20" t="str">
        <f>VLOOKUP(C193,ID!$1:$1048576,2,FALSE)</f>
        <v>ALARCON LAVIN</v>
      </c>
      <c r="G193" s="2" t="str">
        <f>VLOOKUP(D193,CORREOS!$A$2:$B$570,2,FALSE)</f>
        <v>NALARCON@ANTAYHOTELES.CL</v>
      </c>
      <c r="H193" s="24" t="str">
        <f>VLOOKUP(A193,'Informe 2025'!$A$5:$C$164,3,FALSE)</f>
        <v>Tutor "capsula servicio e imagen"</v>
      </c>
      <c r="I193">
        <f>VLOOKUP(H193,'Informe 2025'!$C$6:$M$166,11,FALSE)</f>
        <v>2</v>
      </c>
    </row>
    <row r="194" spans="1:9" x14ac:dyDescent="0.25">
      <c r="A194" s="2">
        <v>16</v>
      </c>
      <c r="B194" t="str">
        <f>VLOOKUP(A194,'Informe 2025'!$1:$1048576,2,FALSE)</f>
        <v>ABRIL</v>
      </c>
      <c r="C194" t="s">
        <v>511</v>
      </c>
      <c r="D194" s="20" t="str">
        <f>VLOOKUP(C194,ID!$1:$1048576,4,FALSE)</f>
        <v>101536</v>
      </c>
      <c r="E194" s="20" t="str">
        <f>VLOOKUP(C194,ID!$1:$1048576,3,FALSE)</f>
        <v xml:space="preserve"> NICOLAS</v>
      </c>
      <c r="F194" s="20" t="str">
        <f>VLOOKUP(C194,ID!$1:$1048576,2,FALSE)</f>
        <v>TELLO BARREAU</v>
      </c>
      <c r="G194" s="2" t="str">
        <f>VLOOKUP(D194,CORREOS!$A$2:$B$570,2,FALSE)</f>
        <v>NICOLAS.TELLO@ANTAYHOTELES.CL</v>
      </c>
      <c r="H194" s="24" t="str">
        <f>VLOOKUP(A194,'Informe 2025'!$A$5:$C$164,3,FALSE)</f>
        <v>Tutor "capsula servicio e imagen"</v>
      </c>
      <c r="I194">
        <f>VLOOKUP(H194,'Informe 2025'!$C$6:$M$166,11,FALSE)</f>
        <v>2</v>
      </c>
    </row>
    <row r="195" spans="1:9" x14ac:dyDescent="0.25">
      <c r="A195" s="2">
        <v>16</v>
      </c>
      <c r="B195" t="str">
        <f>VLOOKUP(A195,'Informe 2025'!$1:$1048576,2,FALSE)</f>
        <v>ABRIL</v>
      </c>
      <c r="C195" t="s">
        <v>534</v>
      </c>
      <c r="D195" s="20" t="str">
        <f>VLOOKUP(C195,ID!$1:$1048576,4,FALSE)</f>
        <v>102292</v>
      </c>
      <c r="E195" s="20" t="str">
        <f>VLOOKUP(C195,ID!$1:$1048576,3,FALSE)</f>
        <v xml:space="preserve"> ESKARLETT YUBINZA</v>
      </c>
      <c r="F195" s="20" t="str">
        <f>VLOOKUP(C195,ID!$1:$1048576,2,FALSE)</f>
        <v>ZULETA COLQUE</v>
      </c>
      <c r="G195" s="2" t="str">
        <f>VLOOKUP(D195,CORREOS!$A$2:$B$570,2,FALSE)</f>
        <v>EZCOLQUE@CL.LUCKIA.COM</v>
      </c>
      <c r="H195" s="24" t="str">
        <f>VLOOKUP(A195,'Informe 2025'!$A$5:$C$164,3,FALSE)</f>
        <v>Tutor "capsula servicio e imagen"</v>
      </c>
      <c r="I195">
        <f>VLOOKUP(H195,'Informe 2025'!$C$6:$M$166,11,FALSE)</f>
        <v>2</v>
      </c>
    </row>
    <row r="196" spans="1:9" x14ac:dyDescent="0.25">
      <c r="A196" s="2">
        <v>16</v>
      </c>
      <c r="B196" t="str">
        <f>VLOOKUP(A196,'Informe 2025'!$1:$1048576,2,FALSE)</f>
        <v>ABRIL</v>
      </c>
      <c r="C196" t="s">
        <v>465</v>
      </c>
      <c r="D196" s="20" t="str">
        <f>VLOOKUP(C196,ID!$1:$1048576,4,FALSE)</f>
        <v>103311</v>
      </c>
      <c r="E196" s="20" t="str">
        <f>VLOOKUP(C196,ID!$1:$1048576,3,FALSE)</f>
        <v xml:space="preserve"> JOHNNY ALEXANDER</v>
      </c>
      <c r="F196" s="20" t="str">
        <f>VLOOKUP(C196,ID!$1:$1048576,2,FALSE)</f>
        <v>PIÑONES RODENAS</v>
      </c>
      <c r="G196" s="2" t="str">
        <f>VLOOKUP(D196,CORREOS!$A$2:$B$570,2,FALSE)</f>
        <v>JPINONES@CL.LUCKIA.COM</v>
      </c>
      <c r="H196" s="24" t="str">
        <f>VLOOKUP(A196,'Informe 2025'!$A$5:$C$164,3,FALSE)</f>
        <v>Tutor "capsula servicio e imagen"</v>
      </c>
      <c r="I196">
        <f>VLOOKUP(H196,'Informe 2025'!$C$6:$M$166,11,FALSE)</f>
        <v>2</v>
      </c>
    </row>
    <row r="197" spans="1:9" x14ac:dyDescent="0.25">
      <c r="A197" s="2">
        <v>17</v>
      </c>
      <c r="B197" t="str">
        <f>VLOOKUP(A197,'Informe 2025'!$1:$1048576,2,FALSE)</f>
        <v>ABRIL</v>
      </c>
      <c r="C197" t="s">
        <v>1632</v>
      </c>
      <c r="D197" s="20" t="str">
        <f>VLOOKUP(C197,ID!$1:$1048576,4,FALSE)</f>
        <v>103252</v>
      </c>
      <c r="E197" s="20" t="str">
        <f>VLOOKUP(C197,ID!$1:$1048576,3,FALSE)</f>
        <v xml:space="preserve"> DIEGO ADRIAN</v>
      </c>
      <c r="F197" s="20" t="str">
        <f>VLOOKUP(C197,ID!$1:$1048576,2,FALSE)</f>
        <v>BARREAU FLORES</v>
      </c>
      <c r="G197" s="2" t="str">
        <f>VLOOKUP(D197,CORREOS!$A$2:$B$570,2,FALSE)</f>
        <v>DBARREAU@antayhoteles.cl</v>
      </c>
      <c r="H197" s="24" t="str">
        <f>VLOOKUP(A197,'Informe 2025'!$A$5:$C$164,3,FALSE)</f>
        <v>Servicio al cliente</v>
      </c>
      <c r="I197">
        <f>VLOOKUP(H197,'Informe 2025'!$C$6:$M$166,11,FALSE)</f>
        <v>2</v>
      </c>
    </row>
    <row r="198" spans="1:9" x14ac:dyDescent="0.25">
      <c r="A198" s="2">
        <v>17</v>
      </c>
      <c r="B198" t="str">
        <f>VLOOKUP(A198,'Informe 2025'!$1:$1048576,2,FALSE)</f>
        <v>ABRIL</v>
      </c>
      <c r="C198" t="s">
        <v>1815</v>
      </c>
      <c r="D198" s="20" t="str">
        <f>VLOOKUP(C198,ID!$1:$1048576,4,FALSE)</f>
        <v>104068</v>
      </c>
      <c r="E198" s="20" t="str">
        <f>VLOOKUP(C198,ID!$1:$1048576,3,FALSE)</f>
        <v xml:space="preserve"> BRANDON NICOLAS</v>
      </c>
      <c r="F198" s="20" t="str">
        <f>VLOOKUP(C198,ID!$1:$1048576,2,FALSE)</f>
        <v>GOMEZ LOBOS</v>
      </c>
      <c r="G198" s="2" t="str">
        <f>VLOOKUP(D198,CORREOS!$A$2:$B$570,2,FALSE)</f>
        <v>BGLOBOS@ANTAYHOTELES.CL</v>
      </c>
      <c r="H198" s="24" t="str">
        <f>VLOOKUP(A198,'Informe 2025'!$A$5:$C$164,3,FALSE)</f>
        <v>Servicio al cliente</v>
      </c>
      <c r="I198">
        <f>VLOOKUP(H198,'Informe 2025'!$C$6:$M$166,11,FALSE)</f>
        <v>2</v>
      </c>
    </row>
    <row r="199" spans="1:9" x14ac:dyDescent="0.25">
      <c r="A199" s="2">
        <v>17</v>
      </c>
      <c r="B199" t="str">
        <f>VLOOKUP(A199,'Informe 2025'!$1:$1048576,2,FALSE)</f>
        <v>ABRIL</v>
      </c>
      <c r="C199" t="s">
        <v>1851</v>
      </c>
      <c r="D199" s="20" t="str">
        <f>VLOOKUP(C199,ID!$1:$1048576,4,FALSE)</f>
        <v>103895</v>
      </c>
      <c r="E199" s="20" t="str">
        <f>VLOOKUP(C199,ID!$1:$1048576,3,FALSE)</f>
        <v xml:space="preserve"> VICENTE ALONSO</v>
      </c>
      <c r="F199" s="20" t="str">
        <f>VLOOKUP(C199,ID!$1:$1048576,2,FALSE)</f>
        <v>ZUMARAN JORQUERA</v>
      </c>
      <c r="G199" s="2" t="str">
        <f>VLOOKUP(D199,CORREOS!$A$2:$B$570,2,FALSE)</f>
        <v>VZUMARAN@ANTAYHOTELES.CL</v>
      </c>
      <c r="H199" s="24" t="str">
        <f>VLOOKUP(A199,'Informe 2025'!$A$5:$C$164,3,FALSE)</f>
        <v>Servicio al cliente</v>
      </c>
      <c r="I199">
        <f>VLOOKUP(H199,'Informe 2025'!$C$6:$M$166,11,FALSE)</f>
        <v>2</v>
      </c>
    </row>
    <row r="200" spans="1:9" x14ac:dyDescent="0.25">
      <c r="A200" s="2">
        <v>17</v>
      </c>
      <c r="B200" t="str">
        <f>VLOOKUP(A200,'Informe 2025'!$1:$1048576,2,FALSE)</f>
        <v>ABRIL</v>
      </c>
      <c r="C200" s="25" t="s">
        <v>267</v>
      </c>
      <c r="D200" s="20" t="str">
        <f>VLOOKUP(C200,ID!$1:$1048576,4,FALSE)</f>
        <v>103457</v>
      </c>
      <c r="E200" s="20" t="str">
        <f>VLOOKUP(C200,ID!$1:$1048576,3,FALSE)</f>
        <v xml:space="preserve"> MARCELO ORLANDO</v>
      </c>
      <c r="F200" s="20" t="str">
        <f>VLOOKUP(C200,ID!$1:$1048576,2,FALSE)</f>
        <v>ARELLANO TARQUI</v>
      </c>
      <c r="G200" s="2" t="str">
        <f>VLOOKUP(D200,CORREOS!$A$2:$B$570,2,FALSE)</f>
        <v>MARELLANO@ANTAYHOTELES.CL</v>
      </c>
      <c r="H200" s="24" t="str">
        <f>VLOOKUP(A200,'Informe 2025'!$A$5:$C$164,3,FALSE)</f>
        <v>Servicio al cliente</v>
      </c>
      <c r="I200">
        <f>VLOOKUP(H200,'Informe 2025'!$C$6:$M$166,11,FALSE)</f>
        <v>2</v>
      </c>
    </row>
    <row r="201" spans="1:9" x14ac:dyDescent="0.25">
      <c r="A201" s="2">
        <v>17</v>
      </c>
      <c r="B201" t="str">
        <f>VLOOKUP(A201,'Informe 2025'!$1:$1048576,2,FALSE)</f>
        <v>ABRIL</v>
      </c>
      <c r="C201" t="s">
        <v>1649</v>
      </c>
      <c r="D201" s="20" t="str">
        <f>VLOOKUP(C201,ID!$1:$1048576,4,FALSE)</f>
        <v>103963</v>
      </c>
      <c r="E201" s="20" t="str">
        <f>VLOOKUP(C201,ID!$1:$1048576,3,FALSE)</f>
        <v xml:space="preserve"> YEREZIM DIANA</v>
      </c>
      <c r="F201" s="20" t="str">
        <f>VLOOKUP(C201,ID!$1:$1048576,2,FALSE)</f>
        <v>JIMENEZ HIDALGO</v>
      </c>
      <c r="G201" s="2" t="str">
        <f>VLOOKUP(D201,CORREOS!$A$2:$B$570,2,FALSE)</f>
        <v>YHURTADO@antayhoteles.cl</v>
      </c>
      <c r="H201" s="24" t="str">
        <f>VLOOKUP(A201,'Informe 2025'!$A$5:$C$164,3,FALSE)</f>
        <v>Servicio al cliente</v>
      </c>
      <c r="I201">
        <f>VLOOKUP(H201,'Informe 2025'!$C$6:$M$166,11,FALSE)</f>
        <v>2</v>
      </c>
    </row>
    <row r="202" spans="1:9" x14ac:dyDescent="0.25">
      <c r="A202" s="2">
        <v>18</v>
      </c>
      <c r="B202" t="str">
        <f>VLOOKUP(A202,'Informe 2025'!$1:$1048576,2,FALSE)</f>
        <v>ABRIL</v>
      </c>
      <c r="C202" t="s">
        <v>1814</v>
      </c>
      <c r="D202" s="20" t="str">
        <f>VLOOKUP(C202,ID!$1:$1048576,4,FALSE)</f>
        <v>102600</v>
      </c>
      <c r="E202" s="20" t="str">
        <f>VLOOKUP(C202,ID!$1:$1048576,3,FALSE)</f>
        <v xml:space="preserve"> LUCA GUSTAVO</v>
      </c>
      <c r="F202" s="20" t="str">
        <f>VLOOKUP(C202,ID!$1:$1048576,2,FALSE)</f>
        <v>VALDOVINOS CODERCH</v>
      </c>
      <c r="G202" s="2" t="str">
        <f>VLOOKUP(D202,CORREOS!$A$2:$B$570,2,FALSE)</f>
        <v>LVALDOVINOS@ANTAYHOTELES.CL</v>
      </c>
      <c r="H202" s="24" t="str">
        <f>VLOOKUP(A202,'Informe 2025'!$A$5:$C$164,3,FALSE)</f>
        <v>Curso Lengua de Señas</v>
      </c>
      <c r="I202">
        <f>VLOOKUP(H202,'Informe 2025'!$C$6:$M$166,11,FALSE)</f>
        <v>12</v>
      </c>
    </row>
    <row r="203" spans="1:9" x14ac:dyDescent="0.25">
      <c r="A203" s="2">
        <v>18</v>
      </c>
      <c r="B203" t="str">
        <f>VLOOKUP(A203,'Informe 2025'!$1:$1048576,2,FALSE)</f>
        <v>ABRIL</v>
      </c>
      <c r="C203" t="s">
        <v>517</v>
      </c>
      <c r="D203" s="20" t="str">
        <f>VLOOKUP(C203,ID!$1:$1048576,4,FALSE)</f>
        <v>102350</v>
      </c>
      <c r="E203" s="20" t="str">
        <f>VLOOKUP(C203,ID!$1:$1048576,3,FALSE)</f>
        <v xml:space="preserve"> NICOLE ANDREA</v>
      </c>
      <c r="F203" s="20" t="str">
        <f>VLOOKUP(C203,ID!$1:$1048576,2,FALSE)</f>
        <v>URRUTIA ACUÑA</v>
      </c>
      <c r="G203" s="2" t="str">
        <f>VLOOKUP(D203,CORREOS!$A$2:$B$570,2,FALSE)</f>
        <v>NURRUTIA@ANTAYHOTELES.CL</v>
      </c>
      <c r="H203" s="24" t="str">
        <f>VLOOKUP(A203,'Informe 2025'!$A$5:$C$164,3,FALSE)</f>
        <v>Curso Lengua de Señas</v>
      </c>
      <c r="I203">
        <f>VLOOKUP(H203,'Informe 2025'!$C$6:$M$166,11,FALSE)</f>
        <v>12</v>
      </c>
    </row>
    <row r="204" spans="1:9" x14ac:dyDescent="0.25">
      <c r="A204" s="2">
        <v>18</v>
      </c>
      <c r="B204" t="str">
        <f>VLOOKUP(A204,'Informe 2025'!$1:$1048576,2,FALSE)</f>
        <v>ABRIL</v>
      </c>
      <c r="C204" t="s">
        <v>296</v>
      </c>
      <c r="D204" s="20" t="str">
        <f>VLOOKUP(C204,ID!$1:$1048576,4,FALSE)</f>
        <v>102224</v>
      </c>
      <c r="E204" s="20" t="str">
        <f>VLOOKUP(C204,ID!$1:$1048576,3,FALSE)</f>
        <v xml:space="preserve"> ALLISON ANDREA</v>
      </c>
      <c r="F204" s="20" t="str">
        <f>VLOOKUP(C204,ID!$1:$1048576,2,FALSE)</f>
        <v>CARREÑO BASTOS</v>
      </c>
      <c r="G204" s="2" t="str">
        <f>VLOOKUP(D204,CORREOS!$A$2:$B$570,2,FALSE)</f>
        <v>ACARRENO@ANTAYHOTELES.CL</v>
      </c>
      <c r="H204" s="24" t="str">
        <f>VLOOKUP(A204,'Informe 2025'!$A$5:$C$164,3,FALSE)</f>
        <v>Curso Lengua de Señas</v>
      </c>
      <c r="I204">
        <f>VLOOKUP(H204,'Informe 2025'!$C$6:$M$166,11,FALSE)</f>
        <v>12</v>
      </c>
    </row>
    <row r="205" spans="1:9" x14ac:dyDescent="0.25">
      <c r="A205" s="2">
        <v>18</v>
      </c>
      <c r="B205" t="str">
        <f>VLOOKUP(A205,'Informe 2025'!$1:$1048576,2,FALSE)</f>
        <v>ABRIL</v>
      </c>
      <c r="C205" t="s">
        <v>401</v>
      </c>
      <c r="D205" s="20" t="str">
        <f>VLOOKUP(C205,ID!$1:$1048576,4,FALSE)</f>
        <v>103463</v>
      </c>
      <c r="E205" s="20" t="str">
        <f>VLOOKUP(C205,ID!$1:$1048576,3,FALSE)</f>
        <v xml:space="preserve"> MARCELO ALEJANDRO</v>
      </c>
      <c r="F205" s="20" t="str">
        <f>VLOOKUP(C205,ID!$1:$1048576,2,FALSE)</f>
        <v>LOPEZ VALDERRAMA</v>
      </c>
      <c r="G205" s="2" t="str">
        <f>VLOOKUP(D205,CORREOS!$A$2:$B$570,2,FALSE)</f>
        <v>MLVALDERRAMA@ANTAYHOTELES.CL</v>
      </c>
      <c r="H205" s="24" t="str">
        <f>VLOOKUP(A205,'Informe 2025'!$A$5:$C$164,3,FALSE)</f>
        <v>Curso Lengua de Señas</v>
      </c>
      <c r="I205">
        <f>VLOOKUP(H205,'Informe 2025'!$C$6:$M$166,11,FALSE)</f>
        <v>12</v>
      </c>
    </row>
    <row r="206" spans="1:9" x14ac:dyDescent="0.25">
      <c r="A206" s="2">
        <v>18</v>
      </c>
      <c r="B206" t="str">
        <f>VLOOKUP(A206,'Informe 2025'!$1:$1048576,2,FALSE)</f>
        <v>ABRIL</v>
      </c>
      <c r="C206" t="s">
        <v>439</v>
      </c>
      <c r="D206" s="20" t="str">
        <f>VLOOKUP(C206,ID!$1:$1048576,4,FALSE)</f>
        <v>102898</v>
      </c>
      <c r="E206" s="20" t="str">
        <f>VLOOKUP(C206,ID!$1:$1048576,3,FALSE)</f>
        <v xml:space="preserve"> PATRICIO ANDRES</v>
      </c>
      <c r="F206" s="20" t="str">
        <f>VLOOKUP(C206,ID!$1:$1048576,2,FALSE)</f>
        <v>OLATE VALDES</v>
      </c>
      <c r="G206" s="2" t="str">
        <f>VLOOKUP(D206,CORREOS!$A$2:$B$570,2,FALSE)</f>
        <v>POLATE@ANTAYHOTELES.CL</v>
      </c>
      <c r="H206" s="24" t="str">
        <f>VLOOKUP(A206,'Informe 2025'!$A$5:$C$164,3,FALSE)</f>
        <v>Curso Lengua de Señas</v>
      </c>
      <c r="I206">
        <f>VLOOKUP(H206,'Informe 2025'!$C$6:$M$166,11,FALSE)</f>
        <v>12</v>
      </c>
    </row>
    <row r="207" spans="1:9" x14ac:dyDescent="0.25">
      <c r="A207" s="2">
        <v>18</v>
      </c>
      <c r="B207" t="str">
        <f>VLOOKUP(A207,'Informe 2025'!$1:$1048576,2,FALSE)</f>
        <v>ABRIL</v>
      </c>
      <c r="C207" t="s">
        <v>373</v>
      </c>
      <c r="D207" s="20" t="str">
        <f>VLOOKUP(C207,ID!$1:$1048576,4,FALSE)</f>
        <v>102998</v>
      </c>
      <c r="E207" s="20" t="str">
        <f>VLOOKUP(C207,ID!$1:$1048576,3,FALSE)</f>
        <v xml:space="preserve"> MARYORY ELBA</v>
      </c>
      <c r="F207" s="20" t="str">
        <f>VLOOKUP(C207,ID!$1:$1048576,2,FALSE)</f>
        <v>GONZALEZ RUIZ</v>
      </c>
      <c r="G207" s="2" t="str">
        <f>VLOOKUP(D207,CORREOS!$A$2:$B$570,2,FALSE)</f>
        <v>MGONZALEZR@ANTAYHOTELES.CL</v>
      </c>
      <c r="H207" s="24" t="str">
        <f>VLOOKUP(A207,'Informe 2025'!$A$5:$C$164,3,FALSE)</f>
        <v>Curso Lengua de Señas</v>
      </c>
      <c r="I207">
        <f>VLOOKUP(H207,'Informe 2025'!$C$6:$M$166,11,FALSE)</f>
        <v>12</v>
      </c>
    </row>
    <row r="208" spans="1:9" x14ac:dyDescent="0.25">
      <c r="A208" s="2">
        <v>18</v>
      </c>
      <c r="B208" t="str">
        <f>VLOOKUP(A208,'Informe 2025'!$1:$1048576,2,FALSE)</f>
        <v>ABRIL</v>
      </c>
      <c r="C208" t="s">
        <v>336</v>
      </c>
      <c r="D208" s="20" t="str">
        <f>VLOOKUP(C208,ID!$1:$1048576,4,FALSE)</f>
        <v>102539</v>
      </c>
      <c r="E208" s="20" t="str">
        <f>VLOOKUP(C208,ID!$1:$1048576,3,FALSE)</f>
        <v xml:space="preserve"> CHRISTY</v>
      </c>
      <c r="F208" s="20" t="str">
        <f>VLOOKUP(C208,ID!$1:$1048576,2,FALSE)</f>
        <v>ELIZALDE TORRES</v>
      </c>
      <c r="G208" s="2" t="str">
        <f>VLOOKUP(D208,CORREOS!$A$2:$B$570,2,FALSE)</f>
        <v>CELIZALDE@ANTAYHOTELES.CL</v>
      </c>
      <c r="H208" s="24" t="str">
        <f>VLOOKUP(A208,'Informe 2025'!$A$5:$C$164,3,FALSE)</f>
        <v>Curso Lengua de Señas</v>
      </c>
      <c r="I208">
        <f>VLOOKUP(H208,'Informe 2025'!$C$6:$M$166,11,FALSE)</f>
        <v>12</v>
      </c>
    </row>
    <row r="209" spans="1:9" x14ac:dyDescent="0.25">
      <c r="A209" s="2">
        <v>18</v>
      </c>
      <c r="B209" t="str">
        <f>VLOOKUP(A209,'Informe 2025'!$1:$1048576,2,FALSE)</f>
        <v>ABRIL</v>
      </c>
      <c r="C209" t="s">
        <v>256</v>
      </c>
      <c r="D209" s="20" t="str">
        <f>VLOOKUP(C209,ID!$1:$1048576,4,FALSE)</f>
        <v>102830</v>
      </c>
      <c r="E209" s="20" t="str">
        <f>VLOOKUP(C209,ID!$1:$1048576,3,FALSE)</f>
        <v xml:space="preserve"> JENNY</v>
      </c>
      <c r="F209" s="20" t="str">
        <f>VLOOKUP(C209,ID!$1:$1048576,2,FALSE)</f>
        <v>ALVAREZ USECHE</v>
      </c>
      <c r="G209" s="2" t="str">
        <f>VLOOKUP(D209,CORREOS!$A$2:$B$570,2,FALSE)</f>
        <v>JAUSECHE@ANTAYHOTELES.CL</v>
      </c>
      <c r="H209" s="24" t="str">
        <f>VLOOKUP(A209,'Informe 2025'!$A$5:$C$164,3,FALSE)</f>
        <v>Curso Lengua de Señas</v>
      </c>
      <c r="I209">
        <f>VLOOKUP(H209,'Informe 2025'!$C$6:$M$166,11,FALSE)</f>
        <v>12</v>
      </c>
    </row>
    <row r="210" spans="1:9" x14ac:dyDescent="0.25">
      <c r="A210" s="2">
        <v>18</v>
      </c>
      <c r="B210" t="str">
        <f>VLOOKUP(A210,'Informe 2025'!$1:$1048576,2,FALSE)</f>
        <v>ABRIL</v>
      </c>
      <c r="C210" t="s">
        <v>1880</v>
      </c>
      <c r="D210" s="20" t="str">
        <f>VLOOKUP(C210,ID!$1:$1048576,4,FALSE)</f>
        <v>102362</v>
      </c>
      <c r="E210" s="20" t="str">
        <f>VLOOKUP(C210,ID!$1:$1048576,3,FALSE)</f>
        <v xml:space="preserve"> MARCIA IRENE</v>
      </c>
      <c r="F210" s="20" t="str">
        <f>VLOOKUP(C210,ID!$1:$1048576,2,FALSE)</f>
        <v>FLORES TOLEDO</v>
      </c>
      <c r="G210" s="2" t="str">
        <f>VLOOKUP(D210,CORREOS!$A$2:$B$570,2,FALSE)</f>
        <v>MFTOLEDO@ANTAYHOTELES.CL</v>
      </c>
      <c r="H210" s="24" t="str">
        <f>VLOOKUP(A210,'Informe 2025'!$A$5:$C$164,3,FALSE)</f>
        <v>Curso Lengua de Señas</v>
      </c>
      <c r="I210">
        <f>VLOOKUP(H210,'Informe 2025'!$C$6:$M$166,11,FALSE)</f>
        <v>12</v>
      </c>
    </row>
    <row r="211" spans="1:9" x14ac:dyDescent="0.25">
      <c r="A211" s="2">
        <v>18</v>
      </c>
      <c r="B211" t="str">
        <f>VLOOKUP(A211,'Informe 2025'!$1:$1048576,2,FALSE)</f>
        <v>ABRIL</v>
      </c>
      <c r="C211" s="25" t="s">
        <v>1623</v>
      </c>
      <c r="D211" s="20" t="str">
        <f>VLOOKUP(C211,ID!$1:$1048576,4,FALSE)</f>
        <v>103814</v>
      </c>
      <c r="E211" s="20" t="str">
        <f>VLOOKUP(C211,ID!$1:$1048576,3,FALSE)</f>
        <v xml:space="preserve"> ROBERTO CARLOS</v>
      </c>
      <c r="F211" s="20" t="str">
        <f>VLOOKUP(C211,ID!$1:$1048576,2,FALSE)</f>
        <v>ALDUNATE MEDINA</v>
      </c>
      <c r="G211" s="2" t="str">
        <f>VLOOKUP(D211,CORREOS!$A$2:$B$570,2,FALSE)</f>
        <v xml:space="preserve"> ROBERTO CARLOS</v>
      </c>
      <c r="H211" s="24" t="str">
        <f>VLOOKUP(A211,'Informe 2025'!$A$5:$C$164,3,FALSE)</f>
        <v>Curso Lengua de Señas</v>
      </c>
      <c r="I211">
        <f>VLOOKUP(H211,'Informe 2025'!$C$6:$M$166,11,FALSE)</f>
        <v>12</v>
      </c>
    </row>
    <row r="212" spans="1:9" x14ac:dyDescent="0.25">
      <c r="A212" s="2">
        <v>18</v>
      </c>
      <c r="B212" t="str">
        <f>VLOOKUP(A212,'Informe 2025'!$1:$1048576,2,FALSE)</f>
        <v>ABRIL</v>
      </c>
      <c r="C212" t="s">
        <v>1813</v>
      </c>
      <c r="D212" s="20" t="str">
        <f>VLOOKUP(C212,ID!$1:$1048576,4,FALSE)</f>
        <v>103086</v>
      </c>
      <c r="E212" s="20" t="str">
        <f>VLOOKUP(C212,ID!$1:$1048576,3,FALSE)</f>
        <v xml:space="preserve"> PABLO ABRAHAM</v>
      </c>
      <c r="F212" s="20" t="str">
        <f>VLOOKUP(C212,ID!$1:$1048576,2,FALSE)</f>
        <v>CONTRERAS VARGAS</v>
      </c>
      <c r="G212" s="2" t="str">
        <f>VLOOKUP(D212,CORREOS!$A$2:$B$570,2,FALSE)</f>
        <v>PCVARGAS@ANTAYHOTELES.CL</v>
      </c>
      <c r="H212" s="24" t="str">
        <f>VLOOKUP(A212,'Informe 2025'!$A$5:$C$164,3,FALSE)</f>
        <v>Curso Lengua de Señas</v>
      </c>
      <c r="I212">
        <f>VLOOKUP(H212,'Informe 2025'!$C$6:$M$166,11,FALSE)</f>
        <v>12</v>
      </c>
    </row>
    <row r="213" spans="1:9" x14ac:dyDescent="0.25">
      <c r="A213" s="2">
        <v>18</v>
      </c>
      <c r="B213" t="str">
        <f>VLOOKUP(A213,'Informe 2025'!$1:$1048576,2,FALSE)</f>
        <v>ABRIL</v>
      </c>
      <c r="C213" t="s">
        <v>259</v>
      </c>
      <c r="D213" s="20" t="str">
        <f>VLOOKUP(C213,ID!$1:$1048576,4,FALSE)</f>
        <v>101768</v>
      </c>
      <c r="E213" s="20" t="str">
        <f>VLOOKUP(C213,ID!$1:$1048576,3,FALSE)</f>
        <v xml:space="preserve"> GONZALO EDUARDO</v>
      </c>
      <c r="F213" s="20" t="str">
        <f>VLOOKUP(C213,ID!$1:$1048576,2,FALSE)</f>
        <v>ANTEZANA POBLETE</v>
      </c>
      <c r="G213" s="2" t="str">
        <f>VLOOKUP(D213,CORREOS!$A$2:$B$570,2,FALSE)</f>
        <v>GANTEZANA@ANTAYHOTELES.CL</v>
      </c>
      <c r="H213" s="24" t="str">
        <f>VLOOKUP(A213,'Informe 2025'!$A$5:$C$164,3,FALSE)</f>
        <v>Curso Lengua de Señas</v>
      </c>
      <c r="I213">
        <f>VLOOKUP(H213,'Informe 2025'!$C$6:$M$166,11,FALSE)</f>
        <v>12</v>
      </c>
    </row>
    <row r="214" spans="1:9" x14ac:dyDescent="0.25">
      <c r="A214" s="2">
        <v>18</v>
      </c>
      <c r="B214" t="str">
        <f>VLOOKUP(A214,'Informe 2025'!$1:$1048576,2,FALSE)</f>
        <v>ABRIL</v>
      </c>
      <c r="C214" s="25" t="s">
        <v>235</v>
      </c>
      <c r="D214" s="20" t="str">
        <f>VLOOKUP(C214,ID!$1:$1048576,4,FALSE)</f>
        <v>102545</v>
      </c>
      <c r="E214" s="20" t="str">
        <f>VLOOKUP(C214,ID!$1:$1048576,3,FALSE)</f>
        <v xml:space="preserve"> FELIPE</v>
      </c>
      <c r="F214" s="20" t="str">
        <f>VLOOKUP(C214,ID!$1:$1048576,2,FALSE)</f>
        <v>ABARCA NUÑEZ</v>
      </c>
      <c r="G214" s="2" t="str">
        <f>VLOOKUP(D214,CORREOS!$A$2:$B$570,2,FALSE)</f>
        <v>FABARCA@ANTAYHOTELES.CL</v>
      </c>
      <c r="H214" s="24" t="str">
        <f>VLOOKUP(A214,'Informe 2025'!$A$5:$C$164,3,FALSE)</f>
        <v>Curso Lengua de Señas</v>
      </c>
      <c r="I214">
        <f>VLOOKUP(H214,'Informe 2025'!$C$6:$M$166,11,FALSE)</f>
        <v>12</v>
      </c>
    </row>
    <row r="215" spans="1:9" x14ac:dyDescent="0.25">
      <c r="A215" s="2">
        <v>18</v>
      </c>
      <c r="B215" t="str">
        <f>VLOOKUP(A215,'Informe 2025'!$1:$1048576,2,FALSE)</f>
        <v>ABRIL</v>
      </c>
      <c r="C215" s="25" t="s">
        <v>382</v>
      </c>
      <c r="D215" s="20" t="str">
        <f>VLOOKUP(C215,ID!$1:$1048576,4,FALSE)</f>
        <v>102960</v>
      </c>
      <c r="E215" s="20" t="str">
        <f>VLOOKUP(C215,ID!$1:$1048576,3,FALSE)</f>
        <v xml:space="preserve"> VALENTINA PALOMA</v>
      </c>
      <c r="F215" s="20" t="str">
        <f>VLOOKUP(C215,ID!$1:$1048576,2,FALSE)</f>
        <v>HERRERA GARCIA</v>
      </c>
      <c r="G215" s="2" t="str">
        <f>VLOOKUP(D215,CORREOS!$A$2:$B$570,2,FALSE)</f>
        <v>VHERRERA@ANTAYHOTELES.CL</v>
      </c>
      <c r="H215" s="24" t="str">
        <f>VLOOKUP(A215,'Informe 2025'!$A$5:$C$164,3,FALSE)</f>
        <v>Curso Lengua de Señas</v>
      </c>
      <c r="I215">
        <f>VLOOKUP(H215,'Informe 2025'!$C$6:$M$166,11,FALSE)</f>
        <v>12</v>
      </c>
    </row>
    <row r="216" spans="1:9" x14ac:dyDescent="0.25">
      <c r="A216" s="2">
        <v>18</v>
      </c>
      <c r="B216" t="str">
        <f>VLOOKUP(A216,'Informe 2025'!$1:$1048576,2,FALSE)</f>
        <v>ABRIL</v>
      </c>
      <c r="C216" s="25" t="s">
        <v>523</v>
      </c>
      <c r="D216" s="20" t="str">
        <f>VLOOKUP(C216,ID!$1:$1048576,4,FALSE)</f>
        <v>103013</v>
      </c>
      <c r="E216" s="20" t="str">
        <f>VLOOKUP(C216,ID!$1:$1048576,3,FALSE)</f>
        <v xml:space="preserve"> SOFIA CATALINA</v>
      </c>
      <c r="F216" s="20" t="str">
        <f>VLOOKUP(C216,ID!$1:$1048576,2,FALSE)</f>
        <v>VARGAS AGUIRRE</v>
      </c>
      <c r="G216" s="2" t="str">
        <f>VLOOKUP(D216,CORREOS!$A$2:$B$570,2,FALSE)</f>
        <v>SVAGUIRRE@ANTAYHOTELES.CL</v>
      </c>
      <c r="H216" s="24" t="str">
        <f>VLOOKUP(A216,'Informe 2025'!$A$5:$C$164,3,FALSE)</f>
        <v>Curso Lengua de Señas</v>
      </c>
      <c r="I216">
        <f>VLOOKUP(H216,'Informe 2025'!$C$6:$M$166,11,FALSE)</f>
        <v>12</v>
      </c>
    </row>
    <row r="217" spans="1:9" x14ac:dyDescent="0.25">
      <c r="A217" s="2">
        <v>18</v>
      </c>
      <c r="B217" t="str">
        <f>VLOOKUP(A217,'Informe 2025'!$1:$1048576,2,FALSE)</f>
        <v>ABRIL</v>
      </c>
      <c r="C217" s="25" t="s">
        <v>416</v>
      </c>
      <c r="D217" s="20" t="str">
        <f>VLOOKUP(C217,ID!$1:$1048576,4,FALSE)</f>
        <v>101878</v>
      </c>
      <c r="E217" s="20" t="str">
        <f>VLOOKUP(C217,ID!$1:$1048576,3,FALSE)</f>
        <v xml:space="preserve"> LUIS SEBASTIAN</v>
      </c>
      <c r="F217" s="20" t="str">
        <f>VLOOKUP(C217,ID!$1:$1048576,2,FALSE)</f>
        <v>MERCADO CAVIERES</v>
      </c>
      <c r="G217" s="2" t="str">
        <f>VLOOKUP(D217,CORREOS!$A$2:$B$570,2,FALSE)</f>
        <v>LMCAVIERES@ANTAYHOTELES.CL</v>
      </c>
      <c r="H217" s="24" t="str">
        <f>VLOOKUP(A217,'Informe 2025'!$A$5:$C$164,3,FALSE)</f>
        <v>Curso Lengua de Señas</v>
      </c>
      <c r="I217">
        <f>VLOOKUP(H217,'Informe 2025'!$C$6:$M$166,11,FALSE)</f>
        <v>12</v>
      </c>
    </row>
    <row r="218" spans="1:9" x14ac:dyDescent="0.25">
      <c r="A218" s="2">
        <v>18</v>
      </c>
      <c r="B218" t="str">
        <f>VLOOKUP(A218,'Informe 2025'!$1:$1048576,2,FALSE)</f>
        <v>ABRIL</v>
      </c>
      <c r="C218" s="25" t="s">
        <v>487</v>
      </c>
      <c r="D218" s="20" t="str">
        <f>VLOOKUP(C218,ID!$1:$1048576,4,FALSE)</f>
        <v>101978</v>
      </c>
      <c r="E218" s="20" t="str">
        <f>VLOOKUP(C218,ID!$1:$1048576,3,FALSE)</f>
        <v xml:space="preserve"> ARANTZA DOMINIQUE FIONA</v>
      </c>
      <c r="F218" s="20" t="str">
        <f>VLOOKUP(C218,ID!$1:$1048576,2,FALSE)</f>
        <v>ROJAS CALLEJAS</v>
      </c>
      <c r="G218" s="2" t="str">
        <f>VLOOKUP(D218,CORREOS!$A$2:$B$570,2,FALSE)</f>
        <v>ARCALLEJAS@ANTAYHOTELES.CL</v>
      </c>
      <c r="H218" s="24" t="str">
        <f>VLOOKUP(A218,'Informe 2025'!$A$5:$C$164,3,FALSE)</f>
        <v>Curso Lengua de Señas</v>
      </c>
      <c r="I218">
        <f>VLOOKUP(H218,'Informe 2025'!$C$6:$M$166,11,FALSE)</f>
        <v>12</v>
      </c>
    </row>
    <row r="219" spans="1:9" x14ac:dyDescent="0.25">
      <c r="A219" s="2">
        <v>18</v>
      </c>
      <c r="B219" t="str">
        <f>VLOOKUP(A219,'Informe 2025'!$1:$1048576,2,FALSE)</f>
        <v>ABRIL</v>
      </c>
      <c r="C219" s="25" t="s">
        <v>419</v>
      </c>
      <c r="D219" s="20" t="str">
        <f>VLOOKUP(C219,ID!$1:$1048576,4,FALSE)</f>
        <v>103074</v>
      </c>
      <c r="E219" s="20" t="str">
        <f>VLOOKUP(C219,ID!$1:$1048576,3,FALSE)</f>
        <v xml:space="preserve"> JOHANN</v>
      </c>
      <c r="F219" s="20" t="str">
        <f>VLOOKUP(C219,ID!$1:$1048576,2,FALSE)</f>
        <v>MIRANDA VIZA</v>
      </c>
      <c r="G219" s="2" t="str">
        <f>VLOOKUP(D219,CORREOS!$A$2:$B$570,2,FALSE)</f>
        <v>JMVIZA@ANTAYHOTELES.CL</v>
      </c>
      <c r="H219" s="24" t="str">
        <f>VLOOKUP(A219,'Informe 2025'!$A$5:$C$164,3,FALSE)</f>
        <v>Curso Lengua de Señas</v>
      </c>
      <c r="I219">
        <f>VLOOKUP(H219,'Informe 2025'!$C$6:$M$166,11,FALSE)</f>
        <v>12</v>
      </c>
    </row>
    <row r="220" spans="1:9" x14ac:dyDescent="0.25">
      <c r="A220" s="2">
        <v>18</v>
      </c>
      <c r="B220" t="str">
        <f>VLOOKUP(A220,'Informe 2025'!$1:$1048576,2,FALSE)</f>
        <v>ABRIL</v>
      </c>
      <c r="C220" t="s">
        <v>431</v>
      </c>
      <c r="D220" s="20" t="str">
        <f>VLOOKUP(C220,ID!$1:$1048576,4,FALSE)</f>
        <v>102865</v>
      </c>
      <c r="E220" s="20" t="str">
        <f>VLOOKUP(C220,ID!$1:$1048576,3,FALSE)</f>
        <v xml:space="preserve"> CARLA ISABEL</v>
      </c>
      <c r="F220" s="20" t="str">
        <f>VLOOKUP(C220,ID!$1:$1048576,2,FALSE)</f>
        <v>MURUA GARCIA</v>
      </c>
      <c r="G220" s="2" t="str">
        <f>VLOOKUP(D220,CORREOS!$A$2:$B$570,2,FALSE)</f>
        <v>CMURUA@ANTAYHOTELES.CL</v>
      </c>
      <c r="H220" s="24" t="str">
        <f>VLOOKUP(A220,'Informe 2025'!$A$5:$C$164,3,FALSE)</f>
        <v>Curso Lengua de Señas</v>
      </c>
      <c r="I220">
        <f>VLOOKUP(H220,'Informe 2025'!$C$6:$M$166,11,FALSE)</f>
        <v>12</v>
      </c>
    </row>
    <row r="221" spans="1:9" x14ac:dyDescent="0.25">
      <c r="A221" s="2">
        <v>18</v>
      </c>
      <c r="B221" t="str">
        <f>VLOOKUP(A221,'Informe 2025'!$1:$1048576,2,FALSE)</f>
        <v>ABRIL</v>
      </c>
      <c r="C221" s="25" t="s">
        <v>1650</v>
      </c>
      <c r="D221" s="20" t="str">
        <f>VLOOKUP(C221,ID!$1:$1048576,4,FALSE)</f>
        <v>103887</v>
      </c>
      <c r="E221" s="20" t="str">
        <f>VLOOKUP(C221,ID!$1:$1048576,3,FALSE)</f>
        <v xml:space="preserve"> MAURICIO ALEJANDRO</v>
      </c>
      <c r="F221" s="20" t="str">
        <f>VLOOKUP(C221,ID!$1:$1048576,2,FALSE)</f>
        <v>LOPEZ AGUILERA</v>
      </c>
      <c r="G221" s="2" t="e">
        <f>VLOOKUP(D221,CORREOS!$A$2:$B$570,2,FALSE)</f>
        <v>#N/A</v>
      </c>
      <c r="H221" s="24" t="str">
        <f>VLOOKUP(A221,'Informe 2025'!$A$5:$C$164,3,FALSE)</f>
        <v>Curso Lengua de Señas</v>
      </c>
      <c r="I221">
        <f>VLOOKUP(H221,'Informe 2025'!$C$6:$M$166,11,FALSE)</f>
        <v>12</v>
      </c>
    </row>
    <row r="222" spans="1:9" x14ac:dyDescent="0.25">
      <c r="A222" s="2">
        <v>18</v>
      </c>
      <c r="B222" t="str">
        <f>VLOOKUP(A222,'Informe 2025'!$1:$1048576,2,FALSE)</f>
        <v>ABRIL</v>
      </c>
      <c r="C222" s="25" t="s">
        <v>1888</v>
      </c>
      <c r="D222" s="20" t="str">
        <f>VLOOKUP(C222,ID!$1:$1048576,4,FALSE)</f>
        <v>102341</v>
      </c>
      <c r="E222" s="20" t="str">
        <f>VLOOKUP(C222,ID!$1:$1048576,3,FALSE)</f>
        <v xml:space="preserve"> MAXIMILIAN EDGAR</v>
      </c>
      <c r="F222" s="20" t="str">
        <f>VLOOKUP(C222,ID!$1:$1048576,2,FALSE)</f>
        <v>MOLINA SILVA</v>
      </c>
      <c r="G222" s="2" t="str">
        <f>VLOOKUP(D222,CORREOS!$A$2:$B$570,2,FALSE)</f>
        <v>MMSILVA@ANTAYHOTELES.CL</v>
      </c>
      <c r="H222" s="24" t="str">
        <f>VLOOKUP(A222,'Informe 2025'!$A$5:$C$164,3,FALSE)</f>
        <v>Curso Lengua de Señas</v>
      </c>
      <c r="I222">
        <f>VLOOKUP(H222,'Informe 2025'!$C$6:$M$166,11,FALSE)</f>
        <v>12</v>
      </c>
    </row>
    <row r="223" spans="1:9" x14ac:dyDescent="0.25">
      <c r="A223" s="2">
        <v>18</v>
      </c>
      <c r="B223" t="str">
        <f>VLOOKUP(A223,'Informe 2025'!$1:$1048576,2,FALSE)</f>
        <v>ABRIL</v>
      </c>
      <c r="C223" s="25" t="s">
        <v>436</v>
      </c>
      <c r="D223" s="20" t="str">
        <f>VLOOKUP(C223,ID!$1:$1048576,4,FALSE)</f>
        <v>103016</v>
      </c>
      <c r="E223" s="20" t="str">
        <f>VLOOKUP(C223,ID!$1:$1048576,3,FALSE)</f>
        <v xml:space="preserve"> ANDREA</v>
      </c>
      <c r="F223" s="20" t="str">
        <f>VLOOKUP(C223,ID!$1:$1048576,2,FALSE)</f>
        <v>NOCHES CARRERA</v>
      </c>
      <c r="G223" s="2" t="str">
        <f>VLOOKUP(D223,CORREOS!$A$2:$B$570,2,FALSE)</f>
        <v>ANOCHES@ANTAYHOTELES.CL</v>
      </c>
      <c r="H223" s="24" t="str">
        <f>VLOOKUP(A223,'Informe 2025'!$A$5:$C$164,3,FALSE)</f>
        <v>Curso Lengua de Señas</v>
      </c>
      <c r="I223">
        <f>VLOOKUP(H223,'Informe 2025'!$C$6:$M$166,11,FALSE)</f>
        <v>12</v>
      </c>
    </row>
    <row r="224" spans="1:9" x14ac:dyDescent="0.25">
      <c r="A224" s="2">
        <v>18</v>
      </c>
      <c r="B224" t="str">
        <f>VLOOKUP(A224,'Informe 2025'!$1:$1048576,2,FALSE)</f>
        <v>ABRIL</v>
      </c>
      <c r="C224" s="25" t="s">
        <v>514</v>
      </c>
      <c r="D224" s="20" t="str">
        <f>VLOOKUP(C224,ID!$1:$1048576,4,FALSE)</f>
        <v>101104</v>
      </c>
      <c r="E224" s="20" t="str">
        <f>VLOOKUP(C224,ID!$1:$1048576,3,FALSE)</f>
        <v xml:space="preserve"> LEANDRO CARLOS</v>
      </c>
      <c r="F224" s="20" t="str">
        <f>VLOOKUP(C224,ID!$1:$1048576,2,FALSE)</f>
        <v>TORRES SALAS</v>
      </c>
      <c r="G224" s="2" t="str">
        <f>VLOOKUP(D224,CORREOS!$A$2:$B$570,2,FALSE)</f>
        <v>LEANDROCARLOS.TORRES@ANTAYHOTELES.CL</v>
      </c>
      <c r="H224" s="24" t="str">
        <f>VLOOKUP(A224,'Informe 2025'!$A$5:$C$164,3,FALSE)</f>
        <v>Curso Lengua de Señas</v>
      </c>
      <c r="I224">
        <f>VLOOKUP(H224,'Informe 2025'!$C$6:$M$166,11,FALSE)</f>
        <v>12</v>
      </c>
    </row>
    <row r="225" spans="1:9" x14ac:dyDescent="0.25">
      <c r="A225" s="2">
        <v>18</v>
      </c>
      <c r="B225" t="str">
        <f>VLOOKUP(A225,'Informe 2025'!$1:$1048576,2,FALSE)</f>
        <v>ABRIL</v>
      </c>
      <c r="C225" s="25" t="s">
        <v>1815</v>
      </c>
      <c r="D225" s="20" t="str">
        <f>VLOOKUP(C225,ID!$1:$1048576,4,FALSE)</f>
        <v>104068</v>
      </c>
      <c r="E225" s="20" t="str">
        <f>VLOOKUP(C225,ID!$1:$1048576,3,FALSE)</f>
        <v xml:space="preserve"> BRANDON NICOLAS</v>
      </c>
      <c r="F225" s="20" t="str">
        <f>VLOOKUP(C225,ID!$1:$1048576,2,FALSE)</f>
        <v>GOMEZ LOBOS</v>
      </c>
      <c r="G225" s="2" t="str">
        <f>VLOOKUP(D225,CORREOS!$A$2:$B$570,2,FALSE)</f>
        <v>BGLOBOS@ANTAYHOTELES.CL</v>
      </c>
      <c r="H225" s="24" t="str">
        <f>VLOOKUP(A225,'Informe 2025'!$A$5:$C$164,3,FALSE)</f>
        <v>Curso Lengua de Señas</v>
      </c>
      <c r="I225">
        <f>VLOOKUP(H225,'Informe 2025'!$C$6:$M$166,11,FALSE)</f>
        <v>12</v>
      </c>
    </row>
    <row r="226" spans="1:9" x14ac:dyDescent="0.25">
      <c r="A226" s="2">
        <v>18</v>
      </c>
      <c r="B226" t="str">
        <f>VLOOKUP(A226,'Informe 2025'!$1:$1048576,2,FALSE)</f>
        <v>ABRIL</v>
      </c>
      <c r="C226" s="25" t="s">
        <v>248</v>
      </c>
      <c r="D226" s="20" t="str">
        <f>VLOOKUP(C226,ID!$1:$1048576,4,FALSE)</f>
        <v>102546</v>
      </c>
      <c r="E226" s="20" t="str">
        <f>VLOOKUP(C226,ID!$1:$1048576,3,FALSE)</f>
        <v xml:space="preserve"> NICOLAS</v>
      </c>
      <c r="F226" s="20" t="str">
        <f>VLOOKUP(C226,ID!$1:$1048576,2,FALSE)</f>
        <v>ALARCON LAVIN</v>
      </c>
      <c r="G226" s="2" t="str">
        <f>VLOOKUP(D226,CORREOS!$A$2:$B$570,2,FALSE)</f>
        <v>NALARCON@ANTAYHOTELES.CL</v>
      </c>
      <c r="H226" s="24" t="str">
        <f>VLOOKUP(A226,'Informe 2025'!$A$5:$C$164,3,FALSE)</f>
        <v>Curso Lengua de Señas</v>
      </c>
      <c r="I226">
        <f>VLOOKUP(H226,'Informe 2025'!$C$6:$M$166,11,FALSE)</f>
        <v>12</v>
      </c>
    </row>
    <row r="227" spans="1:9" x14ac:dyDescent="0.25">
      <c r="A227" s="2">
        <v>18</v>
      </c>
      <c r="B227" t="str">
        <f>VLOOKUP(A227,'Informe 2025'!$1:$1048576,2,FALSE)</f>
        <v>ABRIL</v>
      </c>
      <c r="C227" s="25" t="s">
        <v>258</v>
      </c>
      <c r="D227" s="20" t="str">
        <f>VLOOKUP(C227,ID!$1:$1048576,4,FALSE)</f>
        <v>103394</v>
      </c>
      <c r="E227" s="20" t="str">
        <f>VLOOKUP(C227,ID!$1:$1048576,3,FALSE)</f>
        <v xml:space="preserve"> THIARE ALEXANDRA</v>
      </c>
      <c r="F227" s="20" t="str">
        <f>VLOOKUP(C227,ID!$1:$1048576,2,FALSE)</f>
        <v>ANTEZANA ARAYA</v>
      </c>
      <c r="G227" s="2" t="str">
        <f>VLOOKUP(D227,CORREOS!$A$2:$B$570,2,FALSE)</f>
        <v>TANTEZANA@ANTAYHOTELES.CL</v>
      </c>
      <c r="H227" s="24" t="str">
        <f>VLOOKUP(A227,'Informe 2025'!$A$5:$C$164,3,FALSE)</f>
        <v>Curso Lengua de Señas</v>
      </c>
      <c r="I227">
        <f>VLOOKUP(H227,'Informe 2025'!$C$6:$M$166,11,FALSE)</f>
        <v>12</v>
      </c>
    </row>
    <row r="228" spans="1:9" x14ac:dyDescent="0.25">
      <c r="A228" s="2">
        <v>18</v>
      </c>
      <c r="B228" t="str">
        <f>VLOOKUP(A228,'Informe 2025'!$1:$1048576,2,FALSE)</f>
        <v>ABRIL</v>
      </c>
      <c r="C228" s="25" t="s">
        <v>1622</v>
      </c>
      <c r="D228" s="20" t="str">
        <f>VLOOKUP(C228,ID!$1:$1048576,4,FALSE)</f>
        <v>103808</v>
      </c>
      <c r="E228" s="20" t="str">
        <f>VLOOKUP(C228,ID!$1:$1048576,3,FALSE)</f>
        <v xml:space="preserve"> JIMMY EDUARDO</v>
      </c>
      <c r="F228" s="20" t="str">
        <f>VLOOKUP(C228,ID!$1:$1048576,2,FALSE)</f>
        <v>ALARCON INQUILTUPA</v>
      </c>
      <c r="G228" s="2" t="e">
        <f>VLOOKUP(D228,CORREOS!$A$2:$B$570,2,FALSE)</f>
        <v>#N/A</v>
      </c>
      <c r="H228" s="24" t="str">
        <f>VLOOKUP(A228,'Informe 2025'!$A$5:$C$164,3,FALSE)</f>
        <v>Curso Lengua de Señas</v>
      </c>
      <c r="I228">
        <f>VLOOKUP(H228,'Informe 2025'!$C$6:$M$166,11,FALSE)</f>
        <v>12</v>
      </c>
    </row>
    <row r="229" spans="1:9" x14ac:dyDescent="0.25">
      <c r="A229" s="2">
        <v>18</v>
      </c>
      <c r="B229" t="str">
        <f>VLOOKUP(A229,'Informe 2025'!$1:$1048576,2,FALSE)</f>
        <v>ABRIL</v>
      </c>
      <c r="C229" s="25" t="s">
        <v>1657</v>
      </c>
      <c r="D229" s="20" t="str">
        <f>VLOOKUP(C229,ID!$1:$1048576,4,FALSE)</f>
        <v>103609</v>
      </c>
      <c r="E229" s="20" t="str">
        <f>VLOOKUP(C229,ID!$1:$1048576,3,FALSE)</f>
        <v xml:space="preserve"> NATALY ARACELY</v>
      </c>
      <c r="F229" s="20" t="str">
        <f>VLOOKUP(C229,ID!$1:$1048576,2,FALSE)</f>
        <v>OPAZO DIAZ</v>
      </c>
      <c r="G229" s="2" t="e">
        <f>VLOOKUP(D229,CORREOS!$A$2:$B$570,2,FALSE)</f>
        <v>#N/A</v>
      </c>
      <c r="H229" s="24" t="str">
        <f>VLOOKUP(A229,'Informe 2025'!$A$5:$C$164,3,FALSE)</f>
        <v>Curso Lengua de Señas</v>
      </c>
      <c r="I229">
        <f>VLOOKUP(H229,'Informe 2025'!$C$6:$M$166,11,FALSE)</f>
        <v>12</v>
      </c>
    </row>
    <row r="230" spans="1:9" x14ac:dyDescent="0.25">
      <c r="A230" s="2">
        <v>18</v>
      </c>
      <c r="B230" t="str">
        <f>VLOOKUP(A230,'Informe 2025'!$1:$1048576,2,FALSE)</f>
        <v>ABRIL</v>
      </c>
      <c r="C230" s="25" t="s">
        <v>399</v>
      </c>
      <c r="D230" s="20" t="str">
        <f>VLOOKUP(C230,ID!$1:$1048576,4,FALSE)</f>
        <v>102737</v>
      </c>
      <c r="E230" s="20" t="str">
        <f>VLOOKUP(C230,ID!$1:$1048576,3,FALSE)</f>
        <v xml:space="preserve"> MARJORIE</v>
      </c>
      <c r="F230" s="20" t="str">
        <f>VLOOKUP(C230,ID!$1:$1048576,2,FALSE)</f>
        <v>LOPEZ NAVARRO</v>
      </c>
      <c r="G230" s="2" t="str">
        <f>VLOOKUP(D230,CORREOS!$A$2:$B$570,2,FALSE)</f>
        <v>MLNAVARRO@ANTAYHOTELES.CL</v>
      </c>
      <c r="H230" s="24" t="str">
        <f>VLOOKUP(A230,'Informe 2025'!$A$5:$C$164,3,FALSE)</f>
        <v>Curso Lengua de Señas</v>
      </c>
      <c r="I230">
        <f>VLOOKUP(H230,'Informe 2025'!$C$6:$M$166,11,FALSE)</f>
        <v>12</v>
      </c>
    </row>
    <row r="231" spans="1:9" x14ac:dyDescent="0.25">
      <c r="A231" s="2">
        <v>18</v>
      </c>
      <c r="B231" t="str">
        <f>VLOOKUP(A231,'Informe 2025'!$1:$1048576,2,FALSE)</f>
        <v>ABRIL</v>
      </c>
      <c r="C231" t="s">
        <v>358</v>
      </c>
      <c r="D231" s="20" t="str">
        <f>VLOOKUP(C231,ID!$1:$1048576,4,FALSE)</f>
        <v>102666</v>
      </c>
      <c r="E231" s="20" t="str">
        <f>VLOOKUP(C231,ID!$1:$1048576,3,FALSE)</f>
        <v xml:space="preserve"> ALVARO</v>
      </c>
      <c r="F231" s="20" t="str">
        <f>VLOOKUP(C231,ID!$1:$1048576,2,FALSE)</f>
        <v>GATICA JORQUERA</v>
      </c>
      <c r="G231" s="2" t="str">
        <f>VLOOKUP(D231,CORREOS!$A$2:$B$570,2,FALSE)</f>
        <v>AGATICA@ANTAYHOTELES.CL</v>
      </c>
      <c r="H231" s="24" t="str">
        <f>VLOOKUP(A231,'Informe 2025'!$A$5:$C$164,3,FALSE)</f>
        <v>Curso Lengua de Señas</v>
      </c>
      <c r="I231">
        <f>VLOOKUP(H231,'Informe 2025'!$C$6:$M$166,11,FALSE)</f>
        <v>12</v>
      </c>
    </row>
    <row r="232" spans="1:9" x14ac:dyDescent="0.25">
      <c r="A232" s="2">
        <v>18</v>
      </c>
      <c r="B232" t="str">
        <f>VLOOKUP(A232,'Informe 2025'!$1:$1048576,2,FALSE)</f>
        <v>ABRIL</v>
      </c>
      <c r="C232" s="25" t="s">
        <v>325</v>
      </c>
      <c r="D232" s="20" t="str">
        <f>VLOOKUP(C232,ID!$1:$1048576,4,FALSE)</f>
        <v>102343</v>
      </c>
      <c r="E232" s="20" t="str">
        <f>VLOOKUP(C232,ID!$1:$1048576,3,FALSE)</f>
        <v xml:space="preserve"> MELISSA ISABEL</v>
      </c>
      <c r="F232" s="20" t="str">
        <f>VLOOKUP(C232,ID!$1:$1048576,2,FALSE)</f>
        <v>CRUZ NUÑEZ</v>
      </c>
      <c r="G232" s="2" t="str">
        <f>VLOOKUP(D232,CORREOS!$A$2:$B$570,2,FALSE)</f>
        <v>MCRUZ@ANTAYHOTELES.CL</v>
      </c>
      <c r="H232" s="24" t="str">
        <f>VLOOKUP(A232,'Informe 2025'!$A$5:$C$164,3,FALSE)</f>
        <v>Curso Lengua de Señas</v>
      </c>
      <c r="I232">
        <f>VLOOKUP(H232,'Informe 2025'!$C$6:$M$166,11,FALSE)</f>
        <v>12</v>
      </c>
    </row>
    <row r="233" spans="1:9" x14ac:dyDescent="0.25">
      <c r="A233" s="2">
        <v>18</v>
      </c>
      <c r="B233" t="str">
        <f>VLOOKUP(A233,'Informe 2025'!$1:$1048576,2,FALSE)</f>
        <v>ABRIL</v>
      </c>
      <c r="C233" t="s">
        <v>445</v>
      </c>
      <c r="D233" s="20" t="str">
        <f>VLOOKUP(C233,ID!$1:$1048576,4,FALSE)</f>
        <v>101746</v>
      </c>
      <c r="E233" s="20" t="str">
        <f>VLOOKUP(C233,ID!$1:$1048576,3,FALSE)</f>
        <v xml:space="preserve"> RODEMIL JAMES</v>
      </c>
      <c r="F233" s="20" t="str">
        <f>VLOOKUP(C233,ID!$1:$1048576,2,FALSE)</f>
        <v>ORTIZ SEPULVEDA</v>
      </c>
      <c r="G233" s="2" t="str">
        <f>VLOOKUP(D233,CORREOS!$A$2:$B$570,2,FALSE)</f>
        <v>RORTIZ@ANTAYHOTELES.CL</v>
      </c>
      <c r="H233" s="24" t="str">
        <f>VLOOKUP(A233,'Informe 2025'!$A$5:$C$164,3,FALSE)</f>
        <v>Curso Lengua de Señas</v>
      </c>
      <c r="I233">
        <f>VLOOKUP(H233,'Informe 2025'!$C$6:$M$166,11,FALSE)</f>
        <v>12</v>
      </c>
    </row>
    <row r="234" spans="1:9" x14ac:dyDescent="0.25">
      <c r="A234" s="2">
        <v>18</v>
      </c>
      <c r="B234" t="str">
        <f>VLOOKUP(A234,'Informe 2025'!$1:$1048576,2,FALSE)</f>
        <v>ABRIL</v>
      </c>
      <c r="C234" s="25" t="s">
        <v>267</v>
      </c>
      <c r="D234" s="20" t="str">
        <f>VLOOKUP(C234,ID!$1:$1048576,4,FALSE)</f>
        <v>103457</v>
      </c>
      <c r="E234" s="20" t="str">
        <f>VLOOKUP(C234,ID!$1:$1048576,3,FALSE)</f>
        <v xml:space="preserve"> MARCELO ORLANDO</v>
      </c>
      <c r="F234" s="20" t="str">
        <f>VLOOKUP(C234,ID!$1:$1048576,2,FALSE)</f>
        <v>ARELLANO TARQUI</v>
      </c>
      <c r="G234" s="2" t="str">
        <f>VLOOKUP(D234,CORREOS!$A$2:$B$570,2,FALSE)</f>
        <v>MARELLANO@ANTAYHOTELES.CL</v>
      </c>
      <c r="H234" s="24" t="str">
        <f>VLOOKUP(A234,'Informe 2025'!$A$5:$C$164,3,FALSE)</f>
        <v>Curso Lengua de Señas</v>
      </c>
      <c r="I234">
        <f>VLOOKUP(H234,'Informe 2025'!$C$6:$M$166,11,FALSE)</f>
        <v>12</v>
      </c>
    </row>
    <row r="235" spans="1:9" x14ac:dyDescent="0.25">
      <c r="A235" s="2">
        <v>19</v>
      </c>
      <c r="B235" t="str">
        <f>VLOOKUP(A235,'Informe 2025'!$1:$1048576,2,FALSE)</f>
        <v>ABRIL</v>
      </c>
      <c r="C235" s="25" t="s">
        <v>1814</v>
      </c>
      <c r="D235" s="20" t="str">
        <f>VLOOKUP(C235,ID!$1:$1048576,4,FALSE)</f>
        <v>102600</v>
      </c>
      <c r="E235" s="20" t="str">
        <f>VLOOKUP(C235,ID!$1:$1048576,3,FALSE)</f>
        <v xml:space="preserve"> LUCA GUSTAVO</v>
      </c>
      <c r="F235" s="20" t="str">
        <f>VLOOKUP(C235,ID!$1:$1048576,2,FALSE)</f>
        <v>VALDOVINOS CODERCH</v>
      </c>
      <c r="G235" s="2" t="str">
        <f>VLOOKUP(D235,CORREOS!$A$2:$B$570,2,FALSE)</f>
        <v>LVALDOVINOS@ANTAYHOTELES.CL</v>
      </c>
      <c r="H235" s="24" t="str">
        <f>VLOOKUP(A235,'Informe 2025'!$A$5:$C$164,3,FALSE)</f>
        <v>Reentrenamiento Tutor</v>
      </c>
      <c r="I235">
        <f>VLOOKUP(H235,'Informe 2025'!$C$6:$M$166,11,FALSE)</f>
        <v>6</v>
      </c>
    </row>
    <row r="236" spans="1:9" x14ac:dyDescent="0.25">
      <c r="A236" s="2">
        <v>19</v>
      </c>
      <c r="B236" t="str">
        <f>VLOOKUP(A236,'Informe 2025'!$1:$1048576,2,FALSE)</f>
        <v>ABRIL</v>
      </c>
      <c r="C236" s="25" t="s">
        <v>431</v>
      </c>
      <c r="D236" s="20" t="str">
        <f>VLOOKUP(C236,ID!$1:$1048576,4,FALSE)</f>
        <v>102865</v>
      </c>
      <c r="E236" s="20" t="str">
        <f>VLOOKUP(C236,ID!$1:$1048576,3,FALSE)</f>
        <v xml:space="preserve"> CARLA ISABEL</v>
      </c>
      <c r="F236" s="20" t="str">
        <f>VLOOKUP(C236,ID!$1:$1048576,2,FALSE)</f>
        <v>MURUA GARCIA</v>
      </c>
      <c r="G236" s="2" t="str">
        <f>VLOOKUP(D236,CORREOS!$A$2:$B$570,2,FALSE)</f>
        <v>CMURUA@ANTAYHOTELES.CL</v>
      </c>
      <c r="H236" s="24" t="str">
        <f>VLOOKUP(A236,'Informe 2025'!$A$5:$C$164,3,FALSE)</f>
        <v>Reentrenamiento Tutor</v>
      </c>
      <c r="I236">
        <f>VLOOKUP(H236,'Informe 2025'!$C$6:$M$166,11,FALSE)</f>
        <v>6</v>
      </c>
    </row>
    <row r="237" spans="1:9" x14ac:dyDescent="0.25">
      <c r="A237" s="2">
        <v>19</v>
      </c>
      <c r="B237" t="str">
        <f>VLOOKUP(A237,'Informe 2025'!$1:$1048576,2,FALSE)</f>
        <v>ABRIL</v>
      </c>
      <c r="C237" s="25" t="s">
        <v>275</v>
      </c>
      <c r="D237" s="20" t="str">
        <f>VLOOKUP(C237,ID!$1:$1048576,4,FALSE)</f>
        <v>102798</v>
      </c>
      <c r="E237" s="20" t="str">
        <f>VLOOKUP(C237,ID!$1:$1048576,3,FALSE)</f>
        <v xml:space="preserve"> ANAHI PAZ</v>
      </c>
      <c r="F237" s="20" t="str">
        <f>VLOOKUP(C237,ID!$1:$1048576,2,FALSE)</f>
        <v>ASTUDILLO MUÑOZ</v>
      </c>
      <c r="G237" s="2" t="str">
        <f>VLOOKUP(D237,CORREOS!$A$2:$B$570,2,FALSE)</f>
        <v>AASTUDILLO@ANTAYHOTELES.CL</v>
      </c>
      <c r="H237" s="24" t="str">
        <f>VLOOKUP(A237,'Informe 2025'!$A$5:$C$164,3,FALSE)</f>
        <v>Reentrenamiento Tutor</v>
      </c>
      <c r="I237">
        <f>VLOOKUP(H237,'Informe 2025'!$C$6:$M$166,11,FALSE)</f>
        <v>6</v>
      </c>
    </row>
    <row r="238" spans="1:9" x14ac:dyDescent="0.25">
      <c r="A238" s="2">
        <v>19</v>
      </c>
      <c r="B238" t="str">
        <f>VLOOKUP(A238,'Informe 2025'!$1:$1048576,2,FALSE)</f>
        <v>ABRIL</v>
      </c>
      <c r="C238" s="25" t="s">
        <v>313</v>
      </c>
      <c r="D238" s="20" t="str">
        <f>VLOOKUP(C238,ID!$1:$1048576,4,FALSE)</f>
        <v>102260</v>
      </c>
      <c r="E238" s="20" t="str">
        <f>VLOOKUP(C238,ID!$1:$1048576,3,FALSE)</f>
        <v xml:space="preserve"> DANILO ALEXIS</v>
      </c>
      <c r="F238" s="20" t="str">
        <f>VLOOKUP(C238,ID!$1:$1048576,2,FALSE)</f>
        <v>CLAVERIE ROJAS</v>
      </c>
      <c r="G238" s="2" t="str">
        <f>VLOOKUP(D238,CORREOS!$A$2:$B$570,2,FALSE)</f>
        <v>DCLAVERIE@ANTAYHOTELES.CL</v>
      </c>
      <c r="H238" s="24" t="str">
        <f>VLOOKUP(A238,'Informe 2025'!$A$5:$C$164,3,FALSE)</f>
        <v>Reentrenamiento Tutor</v>
      </c>
      <c r="I238">
        <f>VLOOKUP(H238,'Informe 2025'!$C$6:$M$166,11,FALSE)</f>
        <v>6</v>
      </c>
    </row>
    <row r="239" spans="1:9" x14ac:dyDescent="0.25">
      <c r="A239" s="2">
        <v>19</v>
      </c>
      <c r="B239" t="str">
        <f>VLOOKUP(A239,'Informe 2025'!$1:$1048576,2,FALSE)</f>
        <v>ABRIL</v>
      </c>
      <c r="C239" s="25" t="s">
        <v>441</v>
      </c>
      <c r="D239" s="20" t="str">
        <f>VLOOKUP(C239,ID!$1:$1048576,4,FALSE)</f>
        <v>102299</v>
      </c>
      <c r="E239" s="20" t="str">
        <f>VLOOKUP(C239,ID!$1:$1048576,3,FALSE)</f>
        <v xml:space="preserve"> CARLA ELENA</v>
      </c>
      <c r="F239" s="20" t="str">
        <f>VLOOKUP(C239,ID!$1:$1048576,2,FALSE)</f>
        <v>OLIVARES VIÑALES</v>
      </c>
      <c r="G239" s="2" t="str">
        <f>VLOOKUP(D239,CORREOS!$A$2:$B$570,2,FALSE)</f>
        <v>COVINALES@ANTAYHOTELES.CL</v>
      </c>
      <c r="H239" s="24" t="str">
        <f>VLOOKUP(A239,'Informe 2025'!$A$5:$C$164,3,FALSE)</f>
        <v>Reentrenamiento Tutor</v>
      </c>
      <c r="I239">
        <f>VLOOKUP(H239,'Informe 2025'!$C$6:$M$166,11,FALSE)</f>
        <v>6</v>
      </c>
    </row>
    <row r="240" spans="1:9" x14ac:dyDescent="0.25">
      <c r="A240" s="2">
        <v>19</v>
      </c>
      <c r="B240" t="str">
        <f>VLOOKUP(A240,'Informe 2025'!$1:$1048576,2,FALSE)</f>
        <v>ABRIL</v>
      </c>
      <c r="C240" s="25" t="s">
        <v>407</v>
      </c>
      <c r="D240" s="20" t="str">
        <f>VLOOKUP(C240,ID!$1:$1048576,4,FALSE)</f>
        <v>101826</v>
      </c>
      <c r="E240" s="20" t="str">
        <f>VLOOKUP(C240,ID!$1:$1048576,3,FALSE)</f>
        <v xml:space="preserve"> NARELA ALIZON JUDYT</v>
      </c>
      <c r="F240" s="20" t="str">
        <f>VLOOKUP(C240,ID!$1:$1048576,2,FALSE)</f>
        <v>MARINO ALARO</v>
      </c>
      <c r="G240" s="2" t="str">
        <f>VLOOKUP(D240,CORREOS!$A$2:$B$570,2,FALSE)</f>
        <v>NMARINO@CL.LUCKIA.COM</v>
      </c>
      <c r="H240" s="24" t="str">
        <f>VLOOKUP(A240,'Informe 2025'!$A$5:$C$164,3,FALSE)</f>
        <v>Reentrenamiento Tutor</v>
      </c>
      <c r="I240">
        <f>VLOOKUP(H240,'Informe 2025'!$C$6:$M$166,11,FALSE)</f>
        <v>6</v>
      </c>
    </row>
    <row r="241" spans="1:9" x14ac:dyDescent="0.25">
      <c r="A241" s="2">
        <v>19</v>
      </c>
      <c r="B241" t="str">
        <f>VLOOKUP(A241,'Informe 2025'!$1:$1048576,2,FALSE)</f>
        <v>ABRIL</v>
      </c>
      <c r="C241" s="25" t="s">
        <v>532</v>
      </c>
      <c r="D241" s="20" t="str">
        <f>VLOOKUP(C241,ID!$1:$1048576,4,FALSE)</f>
        <v>101672</v>
      </c>
      <c r="E241" s="20" t="str">
        <f>VLOOKUP(C241,ID!$1:$1048576,3,FALSE)</f>
        <v xml:space="preserve"> CAMILA NICOLE</v>
      </c>
      <c r="F241" s="20" t="str">
        <f>VLOOKUP(C241,ID!$1:$1048576,2,FALSE)</f>
        <v>YAVAR BRICEÑO</v>
      </c>
      <c r="G241" s="2" t="str">
        <f>VLOOKUP(D241,CORREOS!$A$2:$B$570,2,FALSE)</f>
        <v>CAMILANICOLE.YAVAR@CL.LUCKIA.COM</v>
      </c>
      <c r="H241" s="24" t="str">
        <f>VLOOKUP(A241,'Informe 2025'!$A$5:$C$164,3,FALSE)</f>
        <v>Reentrenamiento Tutor</v>
      </c>
      <c r="I241">
        <f>VLOOKUP(H241,'Informe 2025'!$C$6:$M$166,11,FALSE)</f>
        <v>6</v>
      </c>
    </row>
    <row r="242" spans="1:9" x14ac:dyDescent="0.25">
      <c r="A242" s="2">
        <v>19</v>
      </c>
      <c r="B242" t="str">
        <f>VLOOKUP(A242,'Informe 2025'!$1:$1048576,2,FALSE)</f>
        <v>ABRIL</v>
      </c>
      <c r="C242" s="25" t="s">
        <v>392</v>
      </c>
      <c r="D242" s="20" t="str">
        <f>VLOOKUP(C242,ID!$1:$1048576,4,FALSE)</f>
        <v>102643</v>
      </c>
      <c r="E242" s="20" t="str">
        <f>VLOOKUP(C242,ID!$1:$1048576,3,FALSE)</f>
        <v xml:space="preserve"> MELISA</v>
      </c>
      <c r="F242" s="20" t="str">
        <f>VLOOKUP(C242,ID!$1:$1048576,2,FALSE)</f>
        <v>LASSO ERASO</v>
      </c>
      <c r="G242" s="2" t="str">
        <f>VLOOKUP(D242,CORREOS!$A$2:$B$570,2,FALSE)</f>
        <v>MLASSO@ANTAYHOTELES.CL</v>
      </c>
      <c r="H242" s="24" t="str">
        <f>VLOOKUP(A242,'Informe 2025'!$A$5:$C$164,3,FALSE)</f>
        <v>Reentrenamiento Tutor</v>
      </c>
      <c r="I242">
        <f>VLOOKUP(H242,'Informe 2025'!$C$6:$M$166,11,FALSE)</f>
        <v>6</v>
      </c>
    </row>
    <row r="243" spans="1:9" x14ac:dyDescent="0.25">
      <c r="A243" s="2">
        <v>19</v>
      </c>
      <c r="B243" t="str">
        <f>VLOOKUP(A243,'Informe 2025'!$1:$1048576,2,FALSE)</f>
        <v>ABRIL</v>
      </c>
      <c r="C243" s="25" t="s">
        <v>1605</v>
      </c>
      <c r="D243" s="20" t="str">
        <f>VLOOKUP(C243,ID!$1:$1048576,4,FALSE)</f>
        <v>101934</v>
      </c>
      <c r="E243" s="20" t="str">
        <f>VLOOKUP(C243,ID!$1:$1048576,3,FALSE)</f>
        <v xml:space="preserve"> ANAHI GRACIELA</v>
      </c>
      <c r="F243" s="20" t="str">
        <f>VLOOKUP(C243,ID!$1:$1048576,2,FALSE)</f>
        <v>VENTURA AJAYE</v>
      </c>
      <c r="G243" s="2" t="str">
        <f>VLOOKUP(D243,CORREOS!$A$2:$B$570,2,FALSE)</f>
        <v>AVAJAYE@ANTAYHOTELES.CL</v>
      </c>
      <c r="H243" s="24" t="str">
        <f>VLOOKUP(A243,'Informe 2025'!$A$5:$C$164,3,FALSE)</f>
        <v>Reentrenamiento Tutor</v>
      </c>
      <c r="I243">
        <f>VLOOKUP(H243,'Informe 2025'!$C$6:$M$166,11,FALSE)</f>
        <v>6</v>
      </c>
    </row>
    <row r="244" spans="1:9" x14ac:dyDescent="0.25">
      <c r="A244" s="2">
        <v>19</v>
      </c>
      <c r="B244" t="str">
        <f>VLOOKUP(A244,'Informe 2025'!$1:$1048576,2,FALSE)</f>
        <v>ABRIL</v>
      </c>
      <c r="C244" s="25" t="s">
        <v>426</v>
      </c>
      <c r="D244" s="20" t="str">
        <f>VLOOKUP(C244,ID!$1:$1048576,4,FALSE)</f>
        <v>101863</v>
      </c>
      <c r="E244" s="20" t="str">
        <f>VLOOKUP(C244,ID!$1:$1048576,3,FALSE)</f>
        <v xml:space="preserve"> ANA MARIA</v>
      </c>
      <c r="F244" s="20" t="str">
        <f>VLOOKUP(C244,ID!$1:$1048576,2,FALSE)</f>
        <v>MONTECINOS SALINAS</v>
      </c>
      <c r="G244" s="2" t="str">
        <f>VLOOKUP(D244,CORREOS!$A$2:$B$570,2,FALSE)</f>
        <v>AMONTECINOS@ANTAYHOTELES.CL</v>
      </c>
      <c r="H244" s="24" t="str">
        <f>VLOOKUP(A244,'Informe 2025'!$A$5:$C$164,3,FALSE)</f>
        <v>Reentrenamiento Tutor</v>
      </c>
      <c r="I244">
        <f>VLOOKUP(H244,'Informe 2025'!$C$6:$M$166,11,FALSE)</f>
        <v>6</v>
      </c>
    </row>
    <row r="245" spans="1:9" x14ac:dyDescent="0.25">
      <c r="A245" s="2">
        <v>19</v>
      </c>
      <c r="B245" t="str">
        <f>VLOOKUP(A245,'Informe 2025'!$1:$1048576,2,FALSE)</f>
        <v>ABRIL</v>
      </c>
      <c r="C245" s="25" t="s">
        <v>449</v>
      </c>
      <c r="D245" s="20" t="str">
        <f>VLOOKUP(C245,ID!$1:$1048576,4,FALSE)</f>
        <v>102870</v>
      </c>
      <c r="E245" s="20" t="str">
        <f>VLOOKUP(C245,ID!$1:$1048576,3,FALSE)</f>
        <v xml:space="preserve"> MARCELA DEL ROSARIO</v>
      </c>
      <c r="F245" s="20" t="str">
        <f>VLOOKUP(C245,ID!$1:$1048576,2,FALSE)</f>
        <v>PACO PACO</v>
      </c>
      <c r="G245" s="2" t="str">
        <f>VLOOKUP(D245,CORREOS!$A$2:$B$570,2,FALSE)</f>
        <v>MPACO@CL.LUCKIA.COM</v>
      </c>
      <c r="H245" s="24" t="str">
        <f>VLOOKUP(A245,'Informe 2025'!$A$5:$C$164,3,FALSE)</f>
        <v>Reentrenamiento Tutor</v>
      </c>
      <c r="I245">
        <f>VLOOKUP(H245,'Informe 2025'!$C$6:$M$166,11,FALSE)</f>
        <v>6</v>
      </c>
    </row>
    <row r="246" spans="1:9" x14ac:dyDescent="0.25">
      <c r="A246" s="2">
        <v>19</v>
      </c>
      <c r="B246" t="str">
        <f>VLOOKUP(A246,'Informe 2025'!$1:$1048576,2,FALSE)</f>
        <v>ABRIL</v>
      </c>
      <c r="C246" s="25" t="s">
        <v>489</v>
      </c>
      <c r="D246" s="20" t="str">
        <f>VLOOKUP(C246,ID!$1:$1048576,4,FALSE)</f>
        <v>102827</v>
      </c>
      <c r="E246" s="20" t="str">
        <f>VLOOKUP(C246,ID!$1:$1048576,3,FALSE)</f>
        <v xml:space="preserve"> NICOLAS IGNACIO</v>
      </c>
      <c r="F246" s="20" t="str">
        <f>VLOOKUP(C246,ID!$1:$1048576,2,FALSE)</f>
        <v>ROJAS HENRIQUEZ</v>
      </c>
      <c r="G246" s="2" t="str">
        <f>VLOOKUP(D246,CORREOS!$A$2:$B$570,2,FALSE)</f>
        <v>NRHENRIQUEZ@CL.LUCKIA.COM</v>
      </c>
      <c r="H246" s="24" t="str">
        <f>VLOOKUP(A246,'Informe 2025'!$A$5:$C$164,3,FALSE)</f>
        <v>Reentrenamiento Tutor</v>
      </c>
      <c r="I246">
        <f>VLOOKUP(H246,'Informe 2025'!$C$6:$M$166,11,FALSE)</f>
        <v>6</v>
      </c>
    </row>
    <row r="247" spans="1:9" x14ac:dyDescent="0.25">
      <c r="A247" s="2">
        <v>19</v>
      </c>
      <c r="B247" t="str">
        <f>VLOOKUP(A247,'Informe 2025'!$1:$1048576,2,FALSE)</f>
        <v>ABRIL</v>
      </c>
      <c r="C247" s="25" t="s">
        <v>498</v>
      </c>
      <c r="D247" s="20" t="str">
        <f>VLOOKUP(C247,ID!$1:$1048576,4,FALSE)</f>
        <v>101825</v>
      </c>
      <c r="E247" s="20" t="str">
        <f>VLOOKUP(C247,ID!$1:$1048576,3,FALSE)</f>
        <v xml:space="preserve"> GISSELA ANDREA</v>
      </c>
      <c r="F247" s="20" t="str">
        <f>VLOOKUP(C247,ID!$1:$1048576,2,FALSE)</f>
        <v>SANCHEZ QUISPE</v>
      </c>
      <c r="G247" s="2" t="str">
        <f>VLOOKUP(D247,CORREOS!$A$2:$B$570,2,FALSE)</f>
        <v>GSQUISPE@CL.LUCKIA.COM</v>
      </c>
      <c r="H247" s="24" t="str">
        <f>VLOOKUP(A247,'Informe 2025'!$A$5:$C$164,3,FALSE)</f>
        <v>Reentrenamiento Tutor</v>
      </c>
      <c r="I247">
        <f>VLOOKUP(H247,'Informe 2025'!$C$6:$M$166,11,FALSE)</f>
        <v>6</v>
      </c>
    </row>
    <row r="248" spans="1:9" x14ac:dyDescent="0.25">
      <c r="A248" s="2">
        <v>19</v>
      </c>
      <c r="B248" t="str">
        <f>VLOOKUP(A248,'Informe 2025'!$1:$1048576,2,FALSE)</f>
        <v>ABRIL</v>
      </c>
      <c r="C248" s="25" t="s">
        <v>255</v>
      </c>
      <c r="D248" s="20" t="str">
        <f>VLOOKUP(C248,ID!$1:$1048576,4,FALSE)</f>
        <v>102692</v>
      </c>
      <c r="E248" s="20" t="str">
        <f>VLOOKUP(C248,ID!$1:$1048576,3,FALSE)</f>
        <v xml:space="preserve"> CAMILA</v>
      </c>
      <c r="F248" s="20" t="str">
        <f>VLOOKUP(C248,ID!$1:$1048576,2,FALSE)</f>
        <v>ALVAREZ TELLO</v>
      </c>
      <c r="G248" s="2" t="str">
        <f>VLOOKUP(D248,CORREOS!$A$2:$B$570,2,FALSE)</f>
        <v>CATELLO@ANTAYHOTELES.CL</v>
      </c>
      <c r="H248" s="24" t="str">
        <f>VLOOKUP(A248,'Informe 2025'!$A$5:$C$164,3,FALSE)</f>
        <v>Reentrenamiento Tutor</v>
      </c>
      <c r="I248">
        <f>VLOOKUP(H248,'Informe 2025'!$C$6:$M$166,11,FALSE)</f>
        <v>6</v>
      </c>
    </row>
    <row r="249" spans="1:9" x14ac:dyDescent="0.25">
      <c r="A249" s="2">
        <v>19</v>
      </c>
      <c r="B249" t="str">
        <f>VLOOKUP(A249,'Informe 2025'!$1:$1048576,2,FALSE)</f>
        <v>ABRIL</v>
      </c>
      <c r="C249" s="25" t="s">
        <v>1811</v>
      </c>
      <c r="D249" s="20" t="str">
        <f>VLOOKUP(C249,ID!$1:$1048576,4,FALSE)</f>
        <v>101664</v>
      </c>
      <c r="E249" s="20" t="str">
        <f>VLOOKUP(C249,ID!$1:$1048576,3,FALSE)</f>
        <v xml:space="preserve"> EVELYN DENISSE</v>
      </c>
      <c r="F249" s="20" t="str">
        <f>VLOOKUP(C249,ID!$1:$1048576,2,FALSE)</f>
        <v>LOPEZ LORCA</v>
      </c>
      <c r="G249" s="2" t="str">
        <f>VLOOKUP(D249,CORREOS!$A$2:$B$570,2,FALSE)</f>
        <v>EVELYNDENISSE.LOPEZ@ANTAYHOTELES.CL</v>
      </c>
      <c r="H249" s="24" t="str">
        <f>VLOOKUP(A249,'Informe 2025'!$A$5:$C$164,3,FALSE)</f>
        <v>Reentrenamiento Tutor</v>
      </c>
      <c r="I249">
        <f>VLOOKUP(H249,'Informe 2025'!$C$6:$M$166,11,FALSE)</f>
        <v>6</v>
      </c>
    </row>
    <row r="250" spans="1:9" x14ac:dyDescent="0.25">
      <c r="A250" s="2">
        <v>19</v>
      </c>
      <c r="B250" t="str">
        <f>VLOOKUP(A250,'Informe 2025'!$1:$1048576,2,FALSE)</f>
        <v>ABRIL</v>
      </c>
      <c r="C250" s="25" t="s">
        <v>246</v>
      </c>
      <c r="D250" s="20" t="str">
        <f>VLOOKUP(C250,ID!$1:$1048576,4,FALSE)</f>
        <v>102101</v>
      </c>
      <c r="E250" s="20" t="str">
        <f>VLOOKUP(C250,ID!$1:$1048576,3,FALSE)</f>
        <v xml:space="preserve"> GUILLERMO JESUS</v>
      </c>
      <c r="F250" s="20" t="str">
        <f>VLOOKUP(C250,ID!$1:$1048576,2,FALSE)</f>
        <v>ALANIZ MERY</v>
      </c>
      <c r="G250" s="2" t="str">
        <f>VLOOKUP(D250,CORREOS!$A$2:$B$570,2,FALSE)</f>
        <v>GALANIZ@ANTAYHOTELES.CL</v>
      </c>
      <c r="H250" s="24" t="str">
        <f>VLOOKUP(A250,'Informe 2025'!$A$5:$C$164,3,FALSE)</f>
        <v>Reentrenamiento Tutor</v>
      </c>
      <c r="I250">
        <f>VLOOKUP(H250,'Informe 2025'!$C$6:$M$166,11,FALSE)</f>
        <v>6</v>
      </c>
    </row>
    <row r="251" spans="1:9" x14ac:dyDescent="0.25">
      <c r="A251" s="2">
        <v>19</v>
      </c>
      <c r="B251" t="str">
        <f>VLOOKUP(A251,'Informe 2025'!$1:$1048576,2,FALSE)</f>
        <v>ABRIL</v>
      </c>
      <c r="C251" s="25" t="s">
        <v>285</v>
      </c>
      <c r="D251" s="20" t="str">
        <f>VLOOKUP(C251,ID!$1:$1048576,4,FALSE)</f>
        <v>102599</v>
      </c>
      <c r="E251" s="20" t="str">
        <f>VLOOKUP(C251,ID!$1:$1048576,3,FALSE)</f>
        <v xml:space="preserve"> EMILIO SEBASTIAN</v>
      </c>
      <c r="F251" s="20" t="str">
        <f>VLOOKUP(C251,ID!$1:$1048576,2,FALSE)</f>
        <v>CACERES GAJARDO</v>
      </c>
      <c r="G251" s="2" t="str">
        <f>VLOOKUP(D251,CORREOS!$A$2:$B$570,2,FALSE)</f>
        <v>ECACERES@CL.LUCKIA.COM</v>
      </c>
      <c r="H251" s="24" t="str">
        <f>VLOOKUP(A251,'Informe 2025'!$A$5:$C$164,3,FALSE)</f>
        <v>Reentrenamiento Tutor</v>
      </c>
      <c r="I251">
        <f>VLOOKUP(H251,'Informe 2025'!$C$6:$M$166,11,FALSE)</f>
        <v>6</v>
      </c>
    </row>
    <row r="252" spans="1:9" x14ac:dyDescent="0.25">
      <c r="A252" s="2">
        <v>20</v>
      </c>
      <c r="B252" t="str">
        <f>VLOOKUP(A252,'Informe 2025'!$1:$1048576,2,FALSE)</f>
        <v>ABRIL</v>
      </c>
      <c r="C252" s="25" t="s">
        <v>401</v>
      </c>
      <c r="D252" s="20" t="str">
        <f>VLOOKUP(C252,ID!$1:$1048576,4,FALSE)</f>
        <v>103463</v>
      </c>
      <c r="E252" s="20" t="str">
        <f>VLOOKUP(C252,ID!$1:$1048576,3,FALSE)</f>
        <v xml:space="preserve"> MARCELO ALEJANDRO</v>
      </c>
      <c r="F252" s="20" t="str">
        <f>VLOOKUP(C252,ID!$1:$1048576,2,FALSE)</f>
        <v>LOPEZ VALDERRAMA</v>
      </c>
      <c r="G252" s="2" t="str">
        <f>VLOOKUP(D252,CORREOS!$A$2:$B$570,2,FALSE)</f>
        <v>MLVALDERRAMA@ANTAYHOTELES.CL</v>
      </c>
      <c r="H252" s="24" t="str">
        <f>VLOOKUP(A252,'Informe 2025'!$A$5:$C$164,3,FALSE)</f>
        <v>Primeros Auxilio</v>
      </c>
      <c r="I252">
        <f>VLOOKUP(H252,'Informe 2025'!$C$6:$M$166,11,FALSE)</f>
        <v>3</v>
      </c>
    </row>
    <row r="253" spans="1:9" x14ac:dyDescent="0.25">
      <c r="A253" s="2">
        <v>20</v>
      </c>
      <c r="B253" t="str">
        <f>VLOOKUP(A253,'Informe 2025'!$1:$1048576,2,FALSE)</f>
        <v>ABRIL</v>
      </c>
      <c r="C253" s="25" t="s">
        <v>486</v>
      </c>
      <c r="D253" s="20" t="str">
        <f>VLOOKUP(C253,ID!$1:$1048576,4,FALSE)</f>
        <v>102741</v>
      </c>
      <c r="E253" s="20" t="str">
        <f>VLOOKUP(C253,ID!$1:$1048576,3,FALSE)</f>
        <v xml:space="preserve"> ELIANA</v>
      </c>
      <c r="F253" s="20" t="str">
        <f>VLOOKUP(C253,ID!$1:$1048576,2,FALSE)</f>
        <v>RODAS SALCES</v>
      </c>
      <c r="G253" s="2" t="str">
        <f>VLOOKUP(D253,CORREOS!$A$2:$B$570,2,FALSE)</f>
        <v>ERODAS@ANTAYHOTELES.CL</v>
      </c>
      <c r="H253" s="24" t="str">
        <f>VLOOKUP(A253,'Informe 2025'!$A$5:$C$164,3,FALSE)</f>
        <v>Primeros Auxilio</v>
      </c>
      <c r="I253">
        <f>VLOOKUP(H253,'Informe 2025'!$C$6:$M$166,11,FALSE)</f>
        <v>3</v>
      </c>
    </row>
    <row r="254" spans="1:9" x14ac:dyDescent="0.25">
      <c r="A254" s="2">
        <v>20</v>
      </c>
      <c r="B254" t="str">
        <f>VLOOKUP(A254,'Informe 2025'!$1:$1048576,2,FALSE)</f>
        <v>ABRIL</v>
      </c>
      <c r="C254" s="25" t="s">
        <v>298</v>
      </c>
      <c r="D254" s="20" t="str">
        <f>VLOOKUP(C254,ID!$1:$1048576,4,FALSE)</f>
        <v>102368</v>
      </c>
      <c r="E254" s="20" t="str">
        <f>VLOOKUP(C254,ID!$1:$1048576,3,FALSE)</f>
        <v xml:space="preserve"> MATTHIAS GUILLERMO</v>
      </c>
      <c r="F254" s="20" t="str">
        <f>VLOOKUP(C254,ID!$1:$1048576,2,FALSE)</f>
        <v>CARRILLO FOSTER</v>
      </c>
      <c r="G254" s="2" t="str">
        <f>VLOOKUP(D254,CORREOS!$A$2:$B$570,2,FALSE)</f>
        <v>MCARRILLO@ANTAYHOTELES.CL</v>
      </c>
      <c r="H254" s="24" t="str">
        <f>VLOOKUP(A254,'Informe 2025'!$A$5:$C$164,3,FALSE)</f>
        <v>Primeros Auxilio</v>
      </c>
      <c r="I254">
        <f>VLOOKUP(H254,'Informe 2025'!$C$6:$M$166,11,FALSE)</f>
        <v>3</v>
      </c>
    </row>
    <row r="255" spans="1:9" x14ac:dyDescent="0.25">
      <c r="A255" s="2">
        <v>20</v>
      </c>
      <c r="B255" t="str">
        <f>VLOOKUP(A255,'Informe 2025'!$1:$1048576,2,FALSE)</f>
        <v>ABRIL</v>
      </c>
      <c r="C255" s="25" t="s">
        <v>334</v>
      </c>
      <c r="D255" s="20" t="str">
        <f>VLOOKUP(C255,ID!$1:$1048576,4,FALSE)</f>
        <v>102080</v>
      </c>
      <c r="E255" s="20" t="str">
        <f>VLOOKUP(C255,ID!$1:$1048576,3,FALSE)</f>
        <v xml:space="preserve"> KATHERINE NICOLE</v>
      </c>
      <c r="F255" s="20" t="str">
        <f>VLOOKUP(C255,ID!$1:$1048576,2,FALSE)</f>
        <v>DIMITROV DE LA VEGA</v>
      </c>
      <c r="G255" s="2" t="str">
        <f>VLOOKUP(D255,CORREOS!$A$2:$B$570,2,FALSE)</f>
        <v>KDELAVEGA@ANTAYHOTELES.CL</v>
      </c>
      <c r="H255" s="24" t="str">
        <f>VLOOKUP(A255,'Informe 2025'!$A$5:$C$164,3,FALSE)</f>
        <v>Primeros Auxilio</v>
      </c>
      <c r="I255">
        <f>VLOOKUP(H255,'Informe 2025'!$C$6:$M$166,11,FALSE)</f>
        <v>3</v>
      </c>
    </row>
    <row r="256" spans="1:9" x14ac:dyDescent="0.25">
      <c r="A256" s="2">
        <v>20</v>
      </c>
      <c r="B256" t="str">
        <f>VLOOKUP(A256,'Informe 2025'!$1:$1048576,2,FALSE)</f>
        <v>ABRIL</v>
      </c>
      <c r="C256" s="25" t="s">
        <v>1880</v>
      </c>
      <c r="D256" s="20" t="str">
        <f>VLOOKUP(C256,ID!$1:$1048576,4,FALSE)</f>
        <v>102362</v>
      </c>
      <c r="E256" s="20" t="str">
        <f>VLOOKUP(C256,ID!$1:$1048576,3,FALSE)</f>
        <v xml:space="preserve"> MARCIA IRENE</v>
      </c>
      <c r="F256" s="20" t="str">
        <f>VLOOKUP(C256,ID!$1:$1048576,2,FALSE)</f>
        <v>FLORES TOLEDO</v>
      </c>
      <c r="G256" s="2" t="str">
        <f>VLOOKUP(D256,CORREOS!$A$2:$B$570,2,FALSE)</f>
        <v>MFTOLEDO@ANTAYHOTELES.CL</v>
      </c>
      <c r="H256" s="24" t="str">
        <f>VLOOKUP(A256,'Informe 2025'!$A$5:$C$164,3,FALSE)</f>
        <v>Primeros Auxilio</v>
      </c>
      <c r="I256">
        <f>VLOOKUP(H256,'Informe 2025'!$C$6:$M$166,11,FALSE)</f>
        <v>3</v>
      </c>
    </row>
    <row r="257" spans="1:9" x14ac:dyDescent="0.25">
      <c r="A257" s="2">
        <v>20</v>
      </c>
      <c r="B257" t="str">
        <f>VLOOKUP(A257,'Informe 2025'!$1:$1048576,2,FALSE)</f>
        <v>ABRIL</v>
      </c>
      <c r="C257" s="25" t="s">
        <v>1660</v>
      </c>
      <c r="D257" s="20" t="str">
        <f>VLOOKUP(C257,ID!$1:$1048576,4,FALSE)</f>
        <v>103898</v>
      </c>
      <c r="E257" s="20" t="str">
        <f>VLOOKUP(C257,ID!$1:$1048576,3,FALSE)</f>
        <v xml:space="preserve"> NAYARET VERONICA</v>
      </c>
      <c r="F257" s="20" t="str">
        <f>VLOOKUP(C257,ID!$1:$1048576,2,FALSE)</f>
        <v>PONCE PAZ</v>
      </c>
      <c r="G257" s="2" t="e">
        <f>VLOOKUP(D257,CORREOS!$A$2:$B$570,2,FALSE)</f>
        <v>#N/A</v>
      </c>
      <c r="H257" s="24" t="str">
        <f>VLOOKUP(A257,'Informe 2025'!$A$5:$C$164,3,FALSE)</f>
        <v>Primeros Auxilio</v>
      </c>
      <c r="I257">
        <f>VLOOKUP(H257,'Informe 2025'!$C$6:$M$166,11,FALSE)</f>
        <v>3</v>
      </c>
    </row>
    <row r="258" spans="1:9" x14ac:dyDescent="0.25">
      <c r="A258" s="2">
        <v>20</v>
      </c>
      <c r="B258" t="str">
        <f>VLOOKUP(A258,'Informe 2025'!$1:$1048576,2,FALSE)</f>
        <v>ABRIL</v>
      </c>
      <c r="C258" s="25" t="s">
        <v>444</v>
      </c>
      <c r="D258" s="20" t="str">
        <f>VLOOKUP(C258,ID!$1:$1048576,4,FALSE)</f>
        <v>102633</v>
      </c>
      <c r="E258" s="20" t="str">
        <f>VLOOKUP(C258,ID!$1:$1048576,3,FALSE)</f>
        <v xml:space="preserve"> JOHANET</v>
      </c>
      <c r="F258" s="20" t="str">
        <f>VLOOKUP(C258,ID!$1:$1048576,2,FALSE)</f>
        <v>ORDOÑEZ URRUTIA</v>
      </c>
      <c r="G258" s="2" t="str">
        <f>VLOOKUP(D258,CORREOS!$A$2:$B$570,2,FALSE)</f>
        <v>JOURRUTIA@ANTAYHOTELES.CL</v>
      </c>
      <c r="H258" s="24" t="str">
        <f>VLOOKUP(A258,'Informe 2025'!$A$5:$C$164,3,FALSE)</f>
        <v>Primeros Auxilio</v>
      </c>
      <c r="I258">
        <f>VLOOKUP(H258,'Informe 2025'!$C$6:$M$166,11,FALSE)</f>
        <v>3</v>
      </c>
    </row>
    <row r="259" spans="1:9" x14ac:dyDescent="0.25">
      <c r="A259" s="2">
        <v>20</v>
      </c>
      <c r="B259" t="str">
        <f>VLOOKUP(A259,'Informe 2025'!$1:$1048576,2,FALSE)</f>
        <v>ABRIL</v>
      </c>
      <c r="C259" s="25" t="s">
        <v>437</v>
      </c>
      <c r="D259" s="20" t="str">
        <f>VLOOKUP(C259,ID!$1:$1048576,4,FALSE)</f>
        <v>102382</v>
      </c>
      <c r="E259" s="20" t="str">
        <f>VLOOKUP(C259,ID!$1:$1048576,3,FALSE)</f>
        <v xml:space="preserve"> NATALIA ISABEL</v>
      </c>
      <c r="F259" s="20" t="str">
        <f>VLOOKUP(C259,ID!$1:$1048576,2,FALSE)</f>
        <v>NOVOA AGUILERA</v>
      </c>
      <c r="G259" s="2" t="str">
        <f>VLOOKUP(D259,CORREOS!$A$2:$B$570,2,FALSE)</f>
        <v>NNOVOA@ANTAYHOTELES.CL</v>
      </c>
      <c r="H259" s="24" t="str">
        <f>VLOOKUP(A259,'Informe 2025'!$A$5:$C$164,3,FALSE)</f>
        <v>Primeros Auxilio</v>
      </c>
      <c r="I259">
        <f>VLOOKUP(H259,'Informe 2025'!$C$6:$M$166,11,FALSE)</f>
        <v>3</v>
      </c>
    </row>
    <row r="260" spans="1:9" x14ac:dyDescent="0.25">
      <c r="A260" s="2">
        <v>20</v>
      </c>
      <c r="B260" t="str">
        <f>VLOOKUP(A260,'Informe 2025'!$1:$1048576,2,FALSE)</f>
        <v>ABRIL</v>
      </c>
      <c r="C260" s="25" t="s">
        <v>419</v>
      </c>
      <c r="D260" s="20" t="str">
        <f>VLOOKUP(C260,ID!$1:$1048576,4,FALSE)</f>
        <v>103074</v>
      </c>
      <c r="E260" s="20" t="str">
        <f>VLOOKUP(C260,ID!$1:$1048576,3,FALSE)</f>
        <v xml:space="preserve"> JOHANN</v>
      </c>
      <c r="F260" s="20" t="str">
        <f>VLOOKUP(C260,ID!$1:$1048576,2,FALSE)</f>
        <v>MIRANDA VIZA</v>
      </c>
      <c r="G260" s="2" t="str">
        <f>VLOOKUP(D260,CORREOS!$A$2:$B$570,2,FALSE)</f>
        <v>JMVIZA@ANTAYHOTELES.CL</v>
      </c>
      <c r="H260" s="24" t="str">
        <f>VLOOKUP(A260,'Informe 2025'!$A$5:$C$164,3,FALSE)</f>
        <v>Primeros Auxilio</v>
      </c>
      <c r="I260">
        <f>VLOOKUP(H260,'Informe 2025'!$C$6:$M$166,11,FALSE)</f>
        <v>3</v>
      </c>
    </row>
    <row r="261" spans="1:9" x14ac:dyDescent="0.25">
      <c r="A261" s="2">
        <v>20</v>
      </c>
      <c r="B261" t="str">
        <f>VLOOKUP(A261,'Informe 2025'!$1:$1048576,2,FALSE)</f>
        <v>ABRIL</v>
      </c>
      <c r="C261" s="25" t="s">
        <v>1814</v>
      </c>
      <c r="D261" s="20" t="str">
        <f>VLOOKUP(C261,ID!$1:$1048576,4,FALSE)</f>
        <v>102600</v>
      </c>
      <c r="E261" s="20" t="str">
        <f>VLOOKUP(C261,ID!$1:$1048576,3,FALSE)</f>
        <v xml:space="preserve"> LUCA GUSTAVO</v>
      </c>
      <c r="F261" s="20" t="str">
        <f>VLOOKUP(C261,ID!$1:$1048576,2,FALSE)</f>
        <v>VALDOVINOS CODERCH</v>
      </c>
      <c r="G261" s="2" t="str">
        <f>VLOOKUP(D261,CORREOS!$A$2:$B$570,2,FALSE)</f>
        <v>LVALDOVINOS@ANTAYHOTELES.CL</v>
      </c>
      <c r="H261" s="24" t="str">
        <f>VLOOKUP(A261,'Informe 2025'!$A$5:$C$164,3,FALSE)</f>
        <v>Primeros Auxilio</v>
      </c>
      <c r="I261">
        <f>VLOOKUP(H261,'Informe 2025'!$C$6:$M$166,11,FALSE)</f>
        <v>3</v>
      </c>
    </row>
    <row r="262" spans="1:9" x14ac:dyDescent="0.25">
      <c r="A262" s="2">
        <v>20</v>
      </c>
      <c r="B262" t="str">
        <f>VLOOKUP(A262,'Informe 2025'!$1:$1048576,2,FALSE)</f>
        <v>ABRIL</v>
      </c>
      <c r="C262" s="25" t="s">
        <v>1811</v>
      </c>
      <c r="D262" s="20" t="str">
        <f>VLOOKUP(C262,ID!$1:$1048576,4,FALSE)</f>
        <v>101664</v>
      </c>
      <c r="E262" s="20" t="str">
        <f>VLOOKUP(C262,ID!$1:$1048576,3,FALSE)</f>
        <v xml:space="preserve"> EVELYN DENISSE</v>
      </c>
      <c r="F262" s="20" t="str">
        <f>VLOOKUP(C262,ID!$1:$1048576,2,FALSE)</f>
        <v>LOPEZ LORCA</v>
      </c>
      <c r="G262" s="2" t="str">
        <f>VLOOKUP(D262,CORREOS!$A$2:$B$570,2,FALSE)</f>
        <v>EVELYNDENISSE.LOPEZ@ANTAYHOTELES.CL</v>
      </c>
      <c r="H262" s="24" t="str">
        <f>VLOOKUP(A262,'Informe 2025'!$A$5:$C$164,3,FALSE)</f>
        <v>Primeros Auxilio</v>
      </c>
      <c r="I262">
        <f>VLOOKUP(H262,'Informe 2025'!$C$6:$M$166,11,FALSE)</f>
        <v>3</v>
      </c>
    </row>
    <row r="263" spans="1:9" x14ac:dyDescent="0.25">
      <c r="A263" s="2">
        <v>20</v>
      </c>
      <c r="B263" t="str">
        <f>VLOOKUP(A263,'Informe 2025'!$1:$1048576,2,FALSE)</f>
        <v>ABRIL</v>
      </c>
      <c r="C263" s="25" t="s">
        <v>1648</v>
      </c>
      <c r="D263" s="20" t="str">
        <f>VLOOKUP(C263,ID!$1:$1048576,4,FALSE)</f>
        <v>103965</v>
      </c>
      <c r="E263" s="20" t="str">
        <f>VLOOKUP(C263,ID!$1:$1048576,3,FALSE)</f>
        <v xml:space="preserve"> YIRLEY YURANI</v>
      </c>
      <c r="F263" s="20" t="str">
        <f>VLOOKUP(C263,ID!$1:$1048576,2,FALSE)</f>
        <v>HURTADO PRADO</v>
      </c>
      <c r="G263" s="2" t="str">
        <f>VLOOKUP(D263,CORREOS!$A$2:$B$570,2,FALSE)</f>
        <v>YJHIDALGO@antayhoteles.cl</v>
      </c>
      <c r="H263" s="24" t="str">
        <f>VLOOKUP(A263,'Informe 2025'!$A$5:$C$164,3,FALSE)</f>
        <v>Primeros Auxilio</v>
      </c>
      <c r="I263">
        <f>VLOOKUP(H263,'Informe 2025'!$C$6:$M$166,11,FALSE)</f>
        <v>3</v>
      </c>
    </row>
    <row r="264" spans="1:9" x14ac:dyDescent="0.25">
      <c r="A264" s="2">
        <v>20</v>
      </c>
      <c r="B264" t="str">
        <f>VLOOKUP(A264,'Informe 2025'!$1:$1048576,2,FALSE)</f>
        <v>ABRIL</v>
      </c>
      <c r="C264" s="25" t="s">
        <v>289</v>
      </c>
      <c r="D264" s="20" t="str">
        <f>VLOOKUP(C264,ID!$1:$1048576,4,FALSE)</f>
        <v>101866</v>
      </c>
      <c r="E264" s="20" t="str">
        <f>VLOOKUP(C264,ID!$1:$1048576,3,FALSE)</f>
        <v xml:space="preserve"> MELANIE EUGENIA</v>
      </c>
      <c r="F264" s="20" t="str">
        <f>VLOOKUP(C264,ID!$1:$1048576,2,FALSE)</f>
        <v>CARMONA JAIME</v>
      </c>
      <c r="G264" s="2" t="str">
        <f>VLOOKUP(D264,CORREOS!$A$2:$B$570,2,FALSE)</f>
        <v>MCJAIME@ANTAYHOTELES.CL</v>
      </c>
      <c r="H264" s="24" t="str">
        <f>VLOOKUP(A264,'Informe 2025'!$A$5:$C$164,3,FALSE)</f>
        <v>Primeros Auxilio</v>
      </c>
      <c r="I264">
        <f>VLOOKUP(H264,'Informe 2025'!$C$6:$M$166,11,FALSE)</f>
        <v>3</v>
      </c>
    </row>
    <row r="265" spans="1:9" x14ac:dyDescent="0.25">
      <c r="A265" s="2">
        <v>20</v>
      </c>
      <c r="B265" t="str">
        <f>VLOOKUP(A265,'Informe 2025'!$1:$1048576,2,FALSE)</f>
        <v>ABRIL</v>
      </c>
      <c r="C265" t="s">
        <v>431</v>
      </c>
      <c r="D265" s="20" t="str">
        <f>VLOOKUP(C265,ID!$1:$1048576,4,FALSE)</f>
        <v>102865</v>
      </c>
      <c r="E265" s="20" t="str">
        <f>VLOOKUP(C265,ID!$1:$1048576,3,FALSE)</f>
        <v xml:space="preserve"> CARLA ISABEL</v>
      </c>
      <c r="F265" s="20" t="str">
        <f>VLOOKUP(C265,ID!$1:$1048576,2,FALSE)</f>
        <v>MURUA GARCIA</v>
      </c>
      <c r="G265" s="2" t="str">
        <f>VLOOKUP(D265,CORREOS!$A$2:$B$570,2,FALSE)</f>
        <v>CMURUA@ANTAYHOTELES.CL</v>
      </c>
      <c r="H265" s="24" t="str">
        <f>VLOOKUP(A265,'Informe 2025'!$A$5:$C$164,3,FALSE)</f>
        <v>Primeros Auxilio</v>
      </c>
      <c r="I265">
        <f>VLOOKUP(H265,'Informe 2025'!$C$6:$M$166,11,FALSE)</f>
        <v>3</v>
      </c>
    </row>
    <row r="266" spans="1:9" x14ac:dyDescent="0.25">
      <c r="A266" s="2">
        <v>20</v>
      </c>
      <c r="B266" t="str">
        <f>VLOOKUP(A266,'Informe 2025'!$1:$1048576,2,FALSE)</f>
        <v>ABRIL</v>
      </c>
      <c r="C266" s="25" t="s">
        <v>297</v>
      </c>
      <c r="D266" s="20" t="str">
        <f>VLOOKUP(C266,ID!$1:$1048576,4,FALSE)</f>
        <v>101535</v>
      </c>
      <c r="E266" s="20" t="str">
        <f>VLOOKUP(C266,ID!$1:$1048576,3,FALSE)</f>
        <v xml:space="preserve"> BETZABET ALEJANDRA</v>
      </c>
      <c r="F266" s="20" t="str">
        <f>VLOOKUP(C266,ID!$1:$1048576,2,FALSE)</f>
        <v>CARREÑO PIZARRA</v>
      </c>
      <c r="G266" s="2" t="str">
        <f>VLOOKUP(D266,CORREOS!$A$2:$B$570,2,FALSE)</f>
        <v>BETZABETALEJANDRA.CARRENO@ANTAYHOTELES.CL</v>
      </c>
      <c r="H266" s="24" t="str">
        <f>VLOOKUP(A266,'Informe 2025'!$A$5:$C$164,3,FALSE)</f>
        <v>Primeros Auxilio</v>
      </c>
      <c r="I266">
        <f>VLOOKUP(H266,'Informe 2025'!$C$6:$M$166,11,FALSE)</f>
        <v>3</v>
      </c>
    </row>
    <row r="267" spans="1:9" x14ac:dyDescent="0.25">
      <c r="A267" s="2">
        <v>20</v>
      </c>
      <c r="B267" t="str">
        <f>VLOOKUP(A267,'Informe 2025'!$1:$1048576,2,FALSE)</f>
        <v>ABRIL</v>
      </c>
      <c r="C267" s="25" t="s">
        <v>336</v>
      </c>
      <c r="D267" s="20" t="str">
        <f>VLOOKUP(C267,ID!$1:$1048576,4,FALSE)</f>
        <v>102539</v>
      </c>
      <c r="E267" s="20" t="str">
        <f>VLOOKUP(C267,ID!$1:$1048576,3,FALSE)</f>
        <v xml:space="preserve"> CHRISTY</v>
      </c>
      <c r="F267" s="20" t="str">
        <f>VLOOKUP(C267,ID!$1:$1048576,2,FALSE)</f>
        <v>ELIZALDE TORRES</v>
      </c>
      <c r="G267" s="2" t="str">
        <f>VLOOKUP(D267,CORREOS!$A$2:$B$570,2,FALSE)</f>
        <v>CELIZALDE@ANTAYHOTELES.CL</v>
      </c>
      <c r="H267" s="24" t="str">
        <f>VLOOKUP(A267,'Informe 2025'!$A$5:$C$164,3,FALSE)</f>
        <v>Primeros Auxilio</v>
      </c>
      <c r="I267">
        <f>VLOOKUP(H267,'Informe 2025'!$C$6:$M$166,11,FALSE)</f>
        <v>3</v>
      </c>
    </row>
    <row r="268" spans="1:9" x14ac:dyDescent="0.25">
      <c r="A268" s="2">
        <v>20</v>
      </c>
      <c r="B268" t="str">
        <f>VLOOKUP(A268,'Informe 2025'!$1:$1048576,2,FALSE)</f>
        <v>ABRIL</v>
      </c>
      <c r="C268" s="25" t="s">
        <v>399</v>
      </c>
      <c r="D268" s="20" t="str">
        <f>VLOOKUP(C268,ID!$1:$1048576,4,FALSE)</f>
        <v>102737</v>
      </c>
      <c r="E268" s="20" t="str">
        <f>VLOOKUP(C268,ID!$1:$1048576,3,FALSE)</f>
        <v xml:space="preserve"> MARJORIE</v>
      </c>
      <c r="F268" s="20" t="str">
        <f>VLOOKUP(C268,ID!$1:$1048576,2,FALSE)</f>
        <v>LOPEZ NAVARRO</v>
      </c>
      <c r="G268" s="2" t="str">
        <f>VLOOKUP(D268,CORREOS!$A$2:$B$570,2,FALSE)</f>
        <v>MLNAVARRO@ANTAYHOTELES.CL</v>
      </c>
      <c r="H268" s="24" t="str">
        <f>VLOOKUP(A268,'Informe 2025'!$A$5:$C$164,3,FALSE)</f>
        <v>Primeros Auxilio</v>
      </c>
      <c r="I268">
        <f>VLOOKUP(H268,'Informe 2025'!$C$6:$M$166,11,FALSE)</f>
        <v>3</v>
      </c>
    </row>
    <row r="269" spans="1:9" x14ac:dyDescent="0.25">
      <c r="A269" s="2">
        <v>20</v>
      </c>
      <c r="B269" t="str">
        <f>VLOOKUP(A269,'Informe 2025'!$1:$1048576,2,FALSE)</f>
        <v>ABRIL</v>
      </c>
      <c r="C269" s="25" t="s">
        <v>436</v>
      </c>
      <c r="D269" s="20" t="str">
        <f>VLOOKUP(C269,ID!$1:$1048576,4,FALSE)</f>
        <v>103016</v>
      </c>
      <c r="E269" s="20" t="str">
        <f>VLOOKUP(C269,ID!$1:$1048576,3,FALSE)</f>
        <v xml:space="preserve"> ANDREA</v>
      </c>
      <c r="F269" s="20" t="str">
        <f>VLOOKUP(C269,ID!$1:$1048576,2,FALSE)</f>
        <v>NOCHES CARRERA</v>
      </c>
      <c r="G269" s="2" t="str">
        <f>VLOOKUP(D269,CORREOS!$A$2:$B$570,2,FALSE)</f>
        <v>ANOCHES@ANTAYHOTELES.CL</v>
      </c>
      <c r="H269" s="24" t="str">
        <f>VLOOKUP(A269,'Informe 2025'!$A$5:$C$164,3,FALSE)</f>
        <v>Primeros Auxilio</v>
      </c>
      <c r="I269">
        <f>VLOOKUP(H269,'Informe 2025'!$C$6:$M$166,11,FALSE)</f>
        <v>3</v>
      </c>
    </row>
    <row r="270" spans="1:9" x14ac:dyDescent="0.25">
      <c r="A270" s="2">
        <v>20</v>
      </c>
      <c r="B270" t="str">
        <f>VLOOKUP(A270,'Informe 2025'!$1:$1048576,2,FALSE)</f>
        <v>ABRIL</v>
      </c>
      <c r="C270" s="25" t="s">
        <v>511</v>
      </c>
      <c r="D270" s="20" t="str">
        <f>VLOOKUP(C270,ID!$1:$1048576,4,FALSE)</f>
        <v>101536</v>
      </c>
      <c r="E270" s="20" t="str">
        <f>VLOOKUP(C270,ID!$1:$1048576,3,FALSE)</f>
        <v xml:space="preserve"> NICOLAS</v>
      </c>
      <c r="F270" s="20" t="str">
        <f>VLOOKUP(C270,ID!$1:$1048576,2,FALSE)</f>
        <v>TELLO BARREAU</v>
      </c>
      <c r="G270" s="2" t="str">
        <f>VLOOKUP(D270,CORREOS!$A$2:$B$570,2,FALSE)</f>
        <v>NICOLAS.TELLO@ANTAYHOTELES.CL</v>
      </c>
      <c r="H270" s="24" t="str">
        <f>VLOOKUP(A270,'Informe 2025'!$A$5:$C$164,3,FALSE)</f>
        <v>Primeros Auxilio</v>
      </c>
      <c r="I270">
        <f>VLOOKUP(H270,'Informe 2025'!$C$6:$M$166,11,FALSE)</f>
        <v>3</v>
      </c>
    </row>
    <row r="271" spans="1:9" x14ac:dyDescent="0.25">
      <c r="A271" s="2">
        <v>20</v>
      </c>
      <c r="B271" t="str">
        <f>VLOOKUP(A271,'Informe 2025'!$1:$1048576,2,FALSE)</f>
        <v>ABRIL</v>
      </c>
      <c r="C271" s="25" t="s">
        <v>439</v>
      </c>
      <c r="D271" s="20" t="str">
        <f>VLOOKUP(C271,ID!$1:$1048576,4,FALSE)</f>
        <v>102898</v>
      </c>
      <c r="E271" s="20" t="str">
        <f>VLOOKUP(C271,ID!$1:$1048576,3,FALSE)</f>
        <v xml:space="preserve"> PATRICIO ANDRES</v>
      </c>
      <c r="F271" s="20" t="str">
        <f>VLOOKUP(C271,ID!$1:$1048576,2,FALSE)</f>
        <v>OLATE VALDES</v>
      </c>
      <c r="G271" s="2" t="str">
        <f>VLOOKUP(D271,CORREOS!$A$2:$B$570,2,FALSE)</f>
        <v>POLATE@ANTAYHOTELES.CL</v>
      </c>
      <c r="H271" s="24" t="str">
        <f>VLOOKUP(A271,'Informe 2025'!$A$5:$C$164,3,FALSE)</f>
        <v>Primeros Auxilio</v>
      </c>
      <c r="I271">
        <f>VLOOKUP(H271,'Informe 2025'!$C$6:$M$166,11,FALSE)</f>
        <v>3</v>
      </c>
    </row>
    <row r="272" spans="1:9" x14ac:dyDescent="0.25">
      <c r="A272" s="2">
        <v>20</v>
      </c>
      <c r="B272" t="str">
        <f>VLOOKUP(A272,'Informe 2025'!$1:$1048576,2,FALSE)</f>
        <v>ABRIL</v>
      </c>
      <c r="C272" s="25" t="s">
        <v>1645</v>
      </c>
      <c r="D272" s="20" t="str">
        <f>VLOOKUP(C272,ID!$1:$1048576,4,FALSE)</f>
        <v>103855</v>
      </c>
      <c r="E272" s="20" t="str">
        <f>VLOOKUP(C272,ID!$1:$1048576,3,FALSE)</f>
        <v xml:space="preserve"> MELLANY BRILLITT</v>
      </c>
      <c r="F272" s="20" t="str">
        <f>VLOOKUP(C272,ID!$1:$1048576,2,FALSE)</f>
        <v>GRENETT REYES</v>
      </c>
      <c r="G272" s="2" t="e">
        <f>VLOOKUP(D272,CORREOS!$A$2:$B$570,2,FALSE)</f>
        <v>#N/A</v>
      </c>
      <c r="H272" s="24" t="str">
        <f>VLOOKUP(A272,'Informe 2025'!$A$5:$C$164,3,FALSE)</f>
        <v>Primeros Auxilio</v>
      </c>
      <c r="I272">
        <f>VLOOKUP(H272,'Informe 2025'!$C$6:$M$166,11,FALSE)</f>
        <v>3</v>
      </c>
    </row>
    <row r="273" spans="1:9" x14ac:dyDescent="0.25">
      <c r="A273" s="2">
        <v>20</v>
      </c>
      <c r="B273" t="str">
        <f>VLOOKUP(A273,'Informe 2025'!$1:$1048576,2,FALSE)</f>
        <v>ABRIL</v>
      </c>
      <c r="C273" s="25" t="s">
        <v>312</v>
      </c>
      <c r="D273" s="20" t="str">
        <f>VLOOKUP(C273,ID!$1:$1048576,4,FALSE)</f>
        <v>102755</v>
      </c>
      <c r="E273" s="20" t="str">
        <f>VLOOKUP(C273,ID!$1:$1048576,3,FALSE)</f>
        <v xml:space="preserve"> LEONARDO ALEXIS</v>
      </c>
      <c r="F273" s="20" t="str">
        <f>VLOOKUP(C273,ID!$1:$1048576,2,FALSE)</f>
        <v>CISTERNAS YANAPA</v>
      </c>
      <c r="G273" s="2" t="str">
        <f>VLOOKUP(D273,CORREOS!$A$2:$B$570,2,FALSE)</f>
        <v>LCISTERNAS@CL.LUCKIA.COM</v>
      </c>
      <c r="H273" s="24" t="str">
        <f>VLOOKUP(A273,'Informe 2025'!$A$5:$C$164,3,FALSE)</f>
        <v>Primeros Auxilio</v>
      </c>
      <c r="I273">
        <f>VLOOKUP(H273,'Informe 2025'!$C$6:$M$166,11,FALSE)</f>
        <v>3</v>
      </c>
    </row>
    <row r="274" spans="1:9" x14ac:dyDescent="0.25">
      <c r="A274" s="2">
        <v>20</v>
      </c>
      <c r="B274" t="str">
        <f>VLOOKUP(A274,'Informe 2025'!$1:$1048576,2,FALSE)</f>
        <v>ABRIL</v>
      </c>
      <c r="C274" s="25" t="s">
        <v>372</v>
      </c>
      <c r="D274" s="20" t="str">
        <f>VLOOKUP(C274,ID!$1:$1048576,4,FALSE)</f>
        <v>103010</v>
      </c>
      <c r="E274" s="20" t="str">
        <f>VLOOKUP(C274,ID!$1:$1048576,3,FALSE)</f>
        <v xml:space="preserve"> FERNANDO</v>
      </c>
      <c r="F274" s="20" t="str">
        <f>VLOOKUP(C274,ID!$1:$1048576,2,FALSE)</f>
        <v>GONZALEZ OROZCO</v>
      </c>
      <c r="G274" s="2" t="str">
        <f>VLOOKUP(D274,CORREOS!$A$2:$B$570,2,FALSE)</f>
        <v>FGOROZCO@ANTAYHOTELES.CL</v>
      </c>
      <c r="H274" s="24" t="str">
        <f>VLOOKUP(A274,'Informe 2025'!$A$5:$C$164,3,FALSE)</f>
        <v>Primeros Auxilio</v>
      </c>
      <c r="I274">
        <f>VLOOKUP(H274,'Informe 2025'!$C$6:$M$166,11,FALSE)</f>
        <v>3</v>
      </c>
    </row>
    <row r="275" spans="1:9" x14ac:dyDescent="0.25">
      <c r="A275" s="2">
        <v>20</v>
      </c>
      <c r="B275" t="str">
        <f>VLOOKUP(A275,'Informe 2025'!$1:$1048576,2,FALSE)</f>
        <v>ABRIL</v>
      </c>
      <c r="C275" t="s">
        <v>487</v>
      </c>
      <c r="D275" s="20" t="str">
        <f>VLOOKUP(C275,ID!$1:$1048576,4,FALSE)</f>
        <v>101978</v>
      </c>
      <c r="E275" s="20" t="str">
        <f>VLOOKUP(C275,ID!$1:$1048576,3,FALSE)</f>
        <v xml:space="preserve"> ARANTZA DOMINIQUE FIONA</v>
      </c>
      <c r="F275" s="20" t="str">
        <f>VLOOKUP(C275,ID!$1:$1048576,2,FALSE)</f>
        <v>ROJAS CALLEJAS</v>
      </c>
      <c r="G275" s="2" t="str">
        <f>VLOOKUP(D275,CORREOS!$A$2:$B$570,2,FALSE)</f>
        <v>ARCALLEJAS@ANTAYHOTELES.CL</v>
      </c>
      <c r="H275" s="24" t="str">
        <f>VLOOKUP(A275,'Informe 2025'!$A$5:$C$164,3,FALSE)</f>
        <v>Primeros Auxilio</v>
      </c>
      <c r="I275">
        <f>VLOOKUP(H275,'Informe 2025'!$C$6:$M$166,11,FALSE)</f>
        <v>3</v>
      </c>
    </row>
    <row r="276" spans="1:9" x14ac:dyDescent="0.25">
      <c r="A276" s="2">
        <v>20</v>
      </c>
      <c r="B276" t="str">
        <f>VLOOKUP(A276,'Informe 2025'!$1:$1048576,2,FALSE)</f>
        <v>ABRIL</v>
      </c>
      <c r="C276" s="25" t="s">
        <v>514</v>
      </c>
      <c r="D276" s="20" t="str">
        <f>VLOOKUP(C276,ID!$1:$1048576,4,FALSE)</f>
        <v>101104</v>
      </c>
      <c r="E276" s="20" t="str">
        <f>VLOOKUP(C276,ID!$1:$1048576,3,FALSE)</f>
        <v xml:space="preserve"> LEANDRO CARLOS</v>
      </c>
      <c r="F276" s="20" t="str">
        <f>VLOOKUP(C276,ID!$1:$1048576,2,FALSE)</f>
        <v>TORRES SALAS</v>
      </c>
      <c r="G276" s="2" t="str">
        <f>VLOOKUP(D276,CORREOS!$A$2:$B$570,2,FALSE)</f>
        <v>LEANDROCARLOS.TORRES@ANTAYHOTELES.CL</v>
      </c>
      <c r="H276" s="24" t="str">
        <f>VLOOKUP(A276,'Informe 2025'!$A$5:$C$164,3,FALSE)</f>
        <v>Primeros Auxilio</v>
      </c>
      <c r="I276">
        <f>VLOOKUP(H276,'Informe 2025'!$C$6:$M$166,11,FALSE)</f>
        <v>3</v>
      </c>
    </row>
    <row r="277" spans="1:9" x14ac:dyDescent="0.25">
      <c r="A277" s="2">
        <v>21</v>
      </c>
      <c r="B277" t="str">
        <f>VLOOKUP(A277,'Informe 2025'!$1:$1048576,2,FALSE)</f>
        <v>ABRIL</v>
      </c>
      <c r="C277" s="25" t="s">
        <v>427</v>
      </c>
      <c r="D277" s="20" t="str">
        <f>VLOOKUP(C277,ID!$1:$1048576,4,FALSE)</f>
        <v>103023</v>
      </c>
      <c r="E277" s="20" t="str">
        <f>VLOOKUP(C277,ID!$1:$1048576,3,FALSE)</f>
        <v xml:space="preserve"> ROBERTO</v>
      </c>
      <c r="F277" s="20" t="str">
        <f>VLOOKUP(C277,ID!$1:$1048576,2,FALSE)</f>
        <v>MORA COSCIO</v>
      </c>
      <c r="G277" s="2" t="str">
        <f>VLOOKUP(D277,CORREOS!$A$2:$B$570,2,FALSE)</f>
        <v>RMORA@ANTAYHOTELES.CL</v>
      </c>
      <c r="H277" s="24" t="str">
        <f>VLOOKUP(A277,'Informe 2025'!$A$5:$C$164,3,FALSE)</f>
        <v>Primeros Auxilio</v>
      </c>
      <c r="I277">
        <f>VLOOKUP(H277,'Informe 2025'!$C$6:$M$166,11,FALSE)</f>
        <v>3</v>
      </c>
    </row>
    <row r="278" spans="1:9" x14ac:dyDescent="0.25">
      <c r="A278" s="2">
        <v>21</v>
      </c>
      <c r="B278" t="str">
        <f>VLOOKUP(A278,'Informe 2025'!$1:$1048576,2,FALSE)</f>
        <v>ABRIL</v>
      </c>
      <c r="C278" s="25" t="s">
        <v>477</v>
      </c>
      <c r="D278" s="20" t="str">
        <f>VLOOKUP(C278,ID!$1:$1048576,4,FALSE)</f>
        <v>103560</v>
      </c>
      <c r="E278" s="20" t="str">
        <f>VLOOKUP(C278,ID!$1:$1048576,3,FALSE)</f>
        <v xml:space="preserve"> MATIAS GEOVANNI</v>
      </c>
      <c r="F278" s="20" t="str">
        <f>VLOOKUP(C278,ID!$1:$1048576,2,FALSE)</f>
        <v>REYES ARAYA</v>
      </c>
      <c r="G278" s="2" t="str">
        <f>VLOOKUP(D278,CORREOS!$A$2:$B$570,2,FALSE)</f>
        <v>MREYES@CL.LUCKIA.COM</v>
      </c>
      <c r="H278" s="24" t="str">
        <f>VLOOKUP(A278,'Informe 2025'!$A$5:$C$164,3,FALSE)</f>
        <v>Primeros Auxilio</v>
      </c>
      <c r="I278">
        <f>VLOOKUP(H278,'Informe 2025'!$C$6:$M$166,11,FALSE)</f>
        <v>3</v>
      </c>
    </row>
    <row r="279" spans="1:9" x14ac:dyDescent="0.25">
      <c r="A279" s="2">
        <v>21</v>
      </c>
      <c r="B279" t="str">
        <f>VLOOKUP(A279,'Informe 2025'!$1:$1048576,2,FALSE)</f>
        <v>ABRIL</v>
      </c>
      <c r="C279" s="25" t="s">
        <v>327</v>
      </c>
      <c r="D279" s="20" t="str">
        <f>VLOOKUP(C279,ID!$1:$1048576,4,FALSE)</f>
        <v>103301</v>
      </c>
      <c r="E279" s="20" t="str">
        <f>VLOOKUP(C279,ID!$1:$1048576,3,FALSE)</f>
        <v xml:space="preserve"> ISABEL CAMILA</v>
      </c>
      <c r="F279" s="20" t="str">
        <f>VLOOKUP(C279,ID!$1:$1048576,2,FALSE)</f>
        <v>DAVILA VILLENA</v>
      </c>
      <c r="G279" s="2" t="str">
        <f>VLOOKUP(D279,CORREOS!$A$2:$B$570,2,FALSE)</f>
        <v>IDAVILA@CL.LUCKIA.COM</v>
      </c>
      <c r="H279" s="24" t="str">
        <f>VLOOKUP(A279,'Informe 2025'!$A$5:$C$164,3,FALSE)</f>
        <v>Primeros Auxilio</v>
      </c>
      <c r="I279">
        <f>VLOOKUP(H279,'Informe 2025'!$C$6:$M$166,11,FALSE)</f>
        <v>3</v>
      </c>
    </row>
    <row r="280" spans="1:9" x14ac:dyDescent="0.25">
      <c r="A280" s="2">
        <v>21</v>
      </c>
      <c r="B280" t="str">
        <f>VLOOKUP(A280,'Informe 2025'!$1:$1048576,2,FALSE)</f>
        <v>ABRIL</v>
      </c>
      <c r="C280" s="25" t="s">
        <v>238</v>
      </c>
      <c r="D280" s="20" t="str">
        <f>VLOOKUP(C280,ID!$1:$1048576,4,FALSE)</f>
        <v>102879</v>
      </c>
      <c r="E280" s="20" t="str">
        <f>VLOOKUP(C280,ID!$1:$1048576,3,FALSE)</f>
        <v xml:space="preserve"> ROSA ESTER</v>
      </c>
      <c r="F280" s="20" t="str">
        <f>VLOOKUP(C280,ID!$1:$1048576,2,FALSE)</f>
        <v>AEDO ROJAS</v>
      </c>
      <c r="G280" s="2" t="str">
        <f>VLOOKUP(D280,CORREOS!$A$2:$B$570,2,FALSE)</f>
        <v>RAEDO@ANTAYHOTELES.CL</v>
      </c>
      <c r="H280" s="24" t="str">
        <f>VLOOKUP(A280,'Informe 2025'!$A$5:$C$164,3,FALSE)</f>
        <v>Primeros Auxilio</v>
      </c>
      <c r="I280">
        <f>VLOOKUP(H280,'Informe 2025'!$C$6:$M$166,11,FALSE)</f>
        <v>3</v>
      </c>
    </row>
    <row r="281" spans="1:9" x14ac:dyDescent="0.25">
      <c r="A281" s="2">
        <v>21</v>
      </c>
      <c r="B281" t="str">
        <f>VLOOKUP(A281,'Informe 2025'!$1:$1048576,2,FALSE)</f>
        <v>ABRIL</v>
      </c>
      <c r="C281" s="25" t="s">
        <v>285</v>
      </c>
      <c r="D281" s="20" t="str">
        <f>VLOOKUP(C281,ID!$1:$1048576,4,FALSE)</f>
        <v>102599</v>
      </c>
      <c r="E281" s="20" t="str">
        <f>VLOOKUP(C281,ID!$1:$1048576,3,FALSE)</f>
        <v xml:space="preserve"> EMILIO SEBASTIAN</v>
      </c>
      <c r="F281" s="20" t="str">
        <f>VLOOKUP(C281,ID!$1:$1048576,2,FALSE)</f>
        <v>CACERES GAJARDO</v>
      </c>
      <c r="G281" s="2" t="str">
        <f>VLOOKUP(D281,CORREOS!$A$2:$B$570,2,FALSE)</f>
        <v>ECACERES@CL.LUCKIA.COM</v>
      </c>
      <c r="H281" s="24" t="str">
        <f>VLOOKUP(A281,'Informe 2025'!$A$5:$C$164,3,FALSE)</f>
        <v>Primeros Auxilio</v>
      </c>
      <c r="I281">
        <f>VLOOKUP(H281,'Informe 2025'!$C$6:$M$166,11,FALSE)</f>
        <v>3</v>
      </c>
    </row>
    <row r="282" spans="1:9" x14ac:dyDescent="0.25">
      <c r="A282" s="2">
        <v>21</v>
      </c>
      <c r="B282" t="str">
        <f>VLOOKUP(A282,'Informe 2025'!$1:$1048576,2,FALSE)</f>
        <v>ABRIL</v>
      </c>
      <c r="C282" s="25" t="s">
        <v>418</v>
      </c>
      <c r="D282" s="20" t="str">
        <f>VLOOKUP(C282,ID!$1:$1048576,4,FALSE)</f>
        <v>103363</v>
      </c>
      <c r="E282" s="20" t="str">
        <f>VLOOKUP(C282,ID!$1:$1048576,3,FALSE)</f>
        <v xml:space="preserve"> DANIEL NEHEMIAS</v>
      </c>
      <c r="F282" s="20" t="str">
        <f>VLOOKUP(C282,ID!$1:$1048576,2,FALSE)</f>
        <v>MIRANDA QUISPE</v>
      </c>
      <c r="G282" s="2" t="str">
        <f>VLOOKUP(D282,CORREOS!$A$2:$B$570,2,FALSE)</f>
        <v>DMIRANDA@CL.LUCKIA.COM</v>
      </c>
      <c r="H282" s="24" t="str">
        <f>VLOOKUP(A282,'Informe 2025'!$A$5:$C$164,3,FALSE)</f>
        <v>Primeros Auxilio</v>
      </c>
      <c r="I282">
        <f>VLOOKUP(H282,'Informe 2025'!$C$6:$M$166,11,FALSE)</f>
        <v>3</v>
      </c>
    </row>
    <row r="283" spans="1:9" x14ac:dyDescent="0.25">
      <c r="A283" s="2">
        <v>21</v>
      </c>
      <c r="B283" t="str">
        <f>VLOOKUP(A283,'Informe 2025'!$1:$1048576,2,FALSE)</f>
        <v>ABRIL</v>
      </c>
      <c r="C283" s="25" t="s">
        <v>1809</v>
      </c>
      <c r="D283" s="20" t="str">
        <f>VLOOKUP(C283,ID!$1:$1048576,4,FALSE)</f>
        <v>103810</v>
      </c>
      <c r="E283" s="20" t="str">
        <f>VLOOKUP(C283,ID!$1:$1048576,3,FALSE)</f>
        <v xml:space="preserve"> ARANZA ALEJANDRA</v>
      </c>
      <c r="F283" s="20" t="str">
        <f>VLOOKUP(C283,ID!$1:$1048576,2,FALSE)</f>
        <v>CASTILLO VARAS</v>
      </c>
      <c r="G283" s="2" t="str">
        <f>VLOOKUP(D283,CORREOS!$A$2:$B$570,2,FALSE)</f>
        <v xml:space="preserve"> ARANZA ALEJANDRA</v>
      </c>
      <c r="H283" s="24" t="str">
        <f>VLOOKUP(A283,'Informe 2025'!$A$5:$C$164,3,FALSE)</f>
        <v>Primeros Auxilio</v>
      </c>
      <c r="I283">
        <f>VLOOKUP(H283,'Informe 2025'!$C$6:$M$166,11,FALSE)</f>
        <v>3</v>
      </c>
    </row>
    <row r="284" spans="1:9" x14ac:dyDescent="0.25">
      <c r="A284" s="2">
        <v>21</v>
      </c>
      <c r="B284" t="str">
        <f>VLOOKUP(A284,'Informe 2025'!$1:$1048576,2,FALSE)</f>
        <v>ABRIL</v>
      </c>
      <c r="C284" s="25" t="s">
        <v>466</v>
      </c>
      <c r="D284" s="20" t="str">
        <f>VLOOKUP(C284,ID!$1:$1048576,4,FALSE)</f>
        <v>103677</v>
      </c>
      <c r="E284" s="20" t="str">
        <f>VLOOKUP(C284,ID!$1:$1048576,3,FALSE)</f>
        <v xml:space="preserve"> LAURA PAZ BELEN</v>
      </c>
      <c r="F284" s="20" t="str">
        <f>VLOOKUP(C284,ID!$1:$1048576,2,FALSE)</f>
        <v>PIZARRO ARAYA</v>
      </c>
      <c r="G284" s="2" t="str">
        <f>VLOOKUP(D284,CORREOS!$A$2:$B$570,2,FALSE)</f>
        <v>LPIZARRO@CL.LUCKIA.COM</v>
      </c>
      <c r="H284" s="24" t="str">
        <f>VLOOKUP(A284,'Informe 2025'!$A$5:$C$164,3,FALSE)</f>
        <v>Primeros Auxilio</v>
      </c>
      <c r="I284">
        <f>VLOOKUP(H284,'Informe 2025'!$C$6:$M$166,11,FALSE)</f>
        <v>3</v>
      </c>
    </row>
    <row r="285" spans="1:9" x14ac:dyDescent="0.25">
      <c r="A285" s="2">
        <v>21</v>
      </c>
      <c r="B285" t="str">
        <f>VLOOKUP(A285,'Informe 2025'!$1:$1048576,2,FALSE)</f>
        <v>ABRIL</v>
      </c>
      <c r="C285" s="25" t="s">
        <v>302</v>
      </c>
      <c r="D285" s="20" t="str">
        <f>VLOOKUP(C285,ID!$1:$1048576,4,FALSE)</f>
        <v>101455</v>
      </c>
      <c r="E285" s="20" t="str">
        <f>VLOOKUP(C285,ID!$1:$1048576,3,FALSE)</f>
        <v xml:space="preserve"> PAULINA HELGA</v>
      </c>
      <c r="F285" s="20" t="str">
        <f>VLOOKUP(C285,ID!$1:$1048576,2,FALSE)</f>
        <v>CASTILLO MORALES</v>
      </c>
      <c r="G285" s="2" t="str">
        <f>VLOOKUP(D285,CORREOS!$A$2:$B$570,2,FALSE)</f>
        <v>PAULINAHELGA.CASTILLO@CL.LUCKIA.COM</v>
      </c>
      <c r="H285" s="24" t="str">
        <f>VLOOKUP(A285,'Informe 2025'!$A$5:$C$164,3,FALSE)</f>
        <v>Primeros Auxilio</v>
      </c>
      <c r="I285">
        <f>VLOOKUP(H285,'Informe 2025'!$C$6:$M$166,11,FALSE)</f>
        <v>3</v>
      </c>
    </row>
    <row r="286" spans="1:9" x14ac:dyDescent="0.25">
      <c r="A286" s="2">
        <v>21</v>
      </c>
      <c r="B286" t="str">
        <f>VLOOKUP(A286,'Informe 2025'!$1:$1048576,2,FALSE)</f>
        <v>ABRIL</v>
      </c>
      <c r="C286" s="25" t="s">
        <v>1851</v>
      </c>
      <c r="D286" s="20" t="str">
        <f>VLOOKUP(C286,ID!$1:$1048576,4,FALSE)</f>
        <v>103895</v>
      </c>
      <c r="E286" s="20" t="str">
        <f>VLOOKUP(C286,ID!$1:$1048576,3,FALSE)</f>
        <v xml:space="preserve"> VICENTE ALONSO</v>
      </c>
      <c r="F286" s="20" t="str">
        <f>VLOOKUP(C286,ID!$1:$1048576,2,FALSE)</f>
        <v>ZUMARAN JORQUERA</v>
      </c>
      <c r="G286" s="2" t="str">
        <f>VLOOKUP(D286,CORREOS!$A$2:$B$570,2,FALSE)</f>
        <v>VZUMARAN@ANTAYHOTELES.CL</v>
      </c>
      <c r="H286" s="24" t="str">
        <f>VLOOKUP(A286,'Informe 2025'!$A$5:$C$164,3,FALSE)</f>
        <v>Primeros Auxilio</v>
      </c>
      <c r="I286">
        <f>VLOOKUP(H286,'Informe 2025'!$C$6:$M$166,11,FALSE)</f>
        <v>3</v>
      </c>
    </row>
    <row r="287" spans="1:9" x14ac:dyDescent="0.25">
      <c r="A287" s="2">
        <v>21</v>
      </c>
      <c r="B287" t="str">
        <f>VLOOKUP(A287,'Informe 2025'!$1:$1048576,2,FALSE)</f>
        <v>ABRIL</v>
      </c>
      <c r="C287" s="25" t="s">
        <v>267</v>
      </c>
      <c r="D287" s="20" t="str">
        <f>VLOOKUP(C287,ID!$1:$1048576,4,FALSE)</f>
        <v>103457</v>
      </c>
      <c r="E287" s="20" t="str">
        <f>VLOOKUP(C287,ID!$1:$1048576,3,FALSE)</f>
        <v xml:space="preserve"> MARCELO ORLANDO</v>
      </c>
      <c r="F287" s="20" t="str">
        <f>VLOOKUP(C287,ID!$1:$1048576,2,FALSE)</f>
        <v>ARELLANO TARQUI</v>
      </c>
      <c r="G287" s="2" t="str">
        <f>VLOOKUP(D287,CORREOS!$A$2:$B$570,2,FALSE)</f>
        <v>MARELLANO@ANTAYHOTELES.CL</v>
      </c>
      <c r="H287" s="24" t="str">
        <f>VLOOKUP(A287,'Informe 2025'!$A$5:$C$164,3,FALSE)</f>
        <v>Primeros Auxilio</v>
      </c>
      <c r="I287">
        <f>VLOOKUP(H287,'Informe 2025'!$C$6:$M$166,11,FALSE)</f>
        <v>3</v>
      </c>
    </row>
    <row r="288" spans="1:9" x14ac:dyDescent="0.25">
      <c r="A288" s="2">
        <v>21</v>
      </c>
      <c r="B288" t="str">
        <f>VLOOKUP(A288,'Informe 2025'!$1:$1048576,2,FALSE)</f>
        <v>ABRIL</v>
      </c>
      <c r="C288" s="25" t="s">
        <v>253</v>
      </c>
      <c r="D288" s="20" t="str">
        <f>VLOOKUP(C288,ID!$1:$1048576,4,FALSE)</f>
        <v>103078</v>
      </c>
      <c r="E288" s="20" t="str">
        <f>VLOOKUP(C288,ID!$1:$1048576,3,FALSE)</f>
        <v xml:space="preserve"> FELIPE IGNACIO</v>
      </c>
      <c r="F288" s="20" t="str">
        <f>VLOOKUP(C288,ID!$1:$1048576,2,FALSE)</f>
        <v>ALVARADO DIAZ</v>
      </c>
      <c r="G288" s="2" t="str">
        <f>VLOOKUP(D288,CORREOS!$A$2:$B$570,2,FALSE)</f>
        <v>FALVARADO@ANTAYHOTELES.CL</v>
      </c>
      <c r="H288" s="24" t="str">
        <f>VLOOKUP(A288,'Informe 2025'!$A$5:$C$164,3,FALSE)</f>
        <v>Primeros Auxilio</v>
      </c>
      <c r="I288">
        <f>VLOOKUP(H288,'Informe 2025'!$C$6:$M$166,11,FALSE)</f>
        <v>3</v>
      </c>
    </row>
    <row r="289" spans="1:9" x14ac:dyDescent="0.25">
      <c r="A289" s="2">
        <v>21</v>
      </c>
      <c r="B289" t="str">
        <f>VLOOKUP(A289,'Informe 2025'!$1:$1048576,2,FALSE)</f>
        <v>ABRIL</v>
      </c>
      <c r="C289" s="25" t="s">
        <v>1649</v>
      </c>
      <c r="D289" s="20" t="str">
        <f>VLOOKUP(C289,ID!$1:$1048576,4,FALSE)</f>
        <v>103963</v>
      </c>
      <c r="E289" s="20" t="str">
        <f>VLOOKUP(C289,ID!$1:$1048576,3,FALSE)</f>
        <v xml:space="preserve"> YEREZIM DIANA</v>
      </c>
      <c r="F289" s="20" t="str">
        <f>VLOOKUP(C289,ID!$1:$1048576,2,FALSE)</f>
        <v>JIMENEZ HIDALGO</v>
      </c>
      <c r="G289" s="2" t="str">
        <f>VLOOKUP(D289,CORREOS!$A$2:$B$570,2,FALSE)</f>
        <v>YHURTADO@antayhoteles.cl</v>
      </c>
      <c r="H289" s="24" t="str">
        <f>VLOOKUP(A289,'Informe 2025'!$A$5:$C$164,3,FALSE)</f>
        <v>Primeros Auxilio</v>
      </c>
      <c r="I289">
        <f>VLOOKUP(H289,'Informe 2025'!$C$6:$M$166,11,FALSE)</f>
        <v>3</v>
      </c>
    </row>
    <row r="290" spans="1:9" x14ac:dyDescent="0.25">
      <c r="A290" s="2">
        <v>21</v>
      </c>
      <c r="B290" t="str">
        <f>VLOOKUP(A290,'Informe 2025'!$1:$1048576,2,FALSE)</f>
        <v>ABRIL</v>
      </c>
      <c r="C290" s="25" t="s">
        <v>283</v>
      </c>
      <c r="D290" s="20" t="str">
        <f>VLOOKUP(C290,ID!$1:$1048576,4,FALSE)</f>
        <v>102996</v>
      </c>
      <c r="E290" s="20" t="str">
        <f>VLOOKUP(C290,ID!$1:$1048576,3,FALSE)</f>
        <v xml:space="preserve"> CATALINA VICTORIA</v>
      </c>
      <c r="F290" s="20" t="str">
        <f>VLOOKUP(C290,ID!$1:$1048576,2,FALSE)</f>
        <v>CABEZAS MENA</v>
      </c>
      <c r="G290" s="2" t="str">
        <f>VLOOKUP(D290,CORREOS!$A$2:$B$570,2,FALSE)</f>
        <v>CCABEZAS@ANTAYHOTELES.CL</v>
      </c>
      <c r="H290" s="24" t="str">
        <f>VLOOKUP(A290,'Informe 2025'!$A$5:$C$164,3,FALSE)</f>
        <v>Primeros Auxilio</v>
      </c>
      <c r="I290">
        <f>VLOOKUP(H290,'Informe 2025'!$C$6:$M$166,11,FALSE)</f>
        <v>3</v>
      </c>
    </row>
    <row r="291" spans="1:9" x14ac:dyDescent="0.25">
      <c r="A291" s="2">
        <v>21</v>
      </c>
      <c r="B291" t="str">
        <f>VLOOKUP(A291,'Informe 2025'!$1:$1048576,2,FALSE)</f>
        <v>ABRIL</v>
      </c>
      <c r="C291" s="25" t="s">
        <v>301</v>
      </c>
      <c r="D291" s="20" t="str">
        <f>VLOOKUP(C291,ID!$1:$1048576,4,FALSE)</f>
        <v>103342</v>
      </c>
      <c r="E291" s="20" t="str">
        <f>VLOOKUP(C291,ID!$1:$1048576,3,FALSE)</f>
        <v xml:space="preserve"> YEMILFER SHEREZADE</v>
      </c>
      <c r="F291" s="20" t="str">
        <f>VLOOKUP(C291,ID!$1:$1048576,2,FALSE)</f>
        <v>CASTELLANO PERDOMO</v>
      </c>
      <c r="G291" s="2" t="str">
        <f>VLOOKUP(D291,CORREOS!$A$2:$B$570,2,FALSE)</f>
        <v>YCASTELLANO@ANTAYHOTELES.CL</v>
      </c>
      <c r="H291" s="24" t="str">
        <f>VLOOKUP(A291,'Informe 2025'!$A$5:$C$164,3,FALSE)</f>
        <v>Primeros Auxilio</v>
      </c>
      <c r="I291">
        <f>VLOOKUP(H291,'Informe 2025'!$C$6:$M$166,11,FALSE)</f>
        <v>3</v>
      </c>
    </row>
    <row r="292" spans="1:9" x14ac:dyDescent="0.25">
      <c r="A292" s="2">
        <v>21</v>
      </c>
      <c r="B292" t="str">
        <f>VLOOKUP(A292,'Informe 2025'!$1:$1048576,2,FALSE)</f>
        <v>ABRIL</v>
      </c>
      <c r="C292" s="25" t="s">
        <v>433</v>
      </c>
      <c r="D292" s="20" t="str">
        <f>VLOOKUP(C292,ID!$1:$1048576,4,FALSE)</f>
        <v>101585</v>
      </c>
      <c r="E292" s="20" t="str">
        <f>VLOOKUP(C292,ID!$1:$1048576,3,FALSE)</f>
        <v xml:space="preserve"> JORGE JACOB</v>
      </c>
      <c r="F292" s="20" t="str">
        <f>VLOOKUP(C292,ID!$1:$1048576,2,FALSE)</f>
        <v>NANJARI BARRIOS</v>
      </c>
      <c r="G292" s="2" t="str">
        <f>VLOOKUP(D292,CORREOS!$A$2:$B$570,2,FALSE)</f>
        <v>JORGEJACOB.NANJARI@ANTAYHOTELES.CL</v>
      </c>
      <c r="H292" s="24" t="str">
        <f>VLOOKUP(A292,'Informe 2025'!$A$5:$C$164,3,FALSE)</f>
        <v>Primeros Auxilio</v>
      </c>
      <c r="I292">
        <f>VLOOKUP(H292,'Informe 2025'!$C$6:$M$166,11,FALSE)</f>
        <v>3</v>
      </c>
    </row>
    <row r="293" spans="1:9" x14ac:dyDescent="0.25">
      <c r="A293" s="2">
        <v>21</v>
      </c>
      <c r="B293" t="str">
        <f>VLOOKUP(A293,'Informe 2025'!$1:$1048576,2,FALSE)</f>
        <v>ABRIL</v>
      </c>
      <c r="C293" t="s">
        <v>251</v>
      </c>
      <c r="D293" s="20" t="str">
        <f>VLOOKUP(C293,ID!$1:$1048576,4,FALSE)</f>
        <v>102611</v>
      </c>
      <c r="E293" s="20" t="str">
        <f>VLOOKUP(C293,ID!$1:$1048576,3,FALSE)</f>
        <v xml:space="preserve"> DIEGO ALEXIS</v>
      </c>
      <c r="F293" s="20" t="str">
        <f>VLOOKUP(C293,ID!$1:$1048576,2,FALSE)</f>
        <v>ALID ALID</v>
      </c>
      <c r="G293" s="2" t="str">
        <f>VLOOKUP(D293,CORREOS!$A$2:$B$570,2,FALSE)</f>
        <v>DALID@ANTAYHOTELES.CL</v>
      </c>
      <c r="H293" s="24" t="str">
        <f>VLOOKUP(A293,'Informe 2025'!$A$5:$C$164,3,FALSE)</f>
        <v>Primeros Auxilio</v>
      </c>
      <c r="I293">
        <f>VLOOKUP(H293,'Informe 2025'!$C$6:$M$166,11,FALSE)</f>
        <v>3</v>
      </c>
    </row>
    <row r="294" spans="1:9" x14ac:dyDescent="0.25">
      <c r="A294" s="2">
        <v>22</v>
      </c>
      <c r="B294" t="str">
        <f>VLOOKUP(A294,'Informe 2025'!$1:$1048576,2,FALSE)</f>
        <v>ABRIL</v>
      </c>
      <c r="C294" s="25" t="s">
        <v>1851</v>
      </c>
      <c r="D294" s="20" t="str">
        <f>VLOOKUP(C294,ID!$1:$1048576,4,FALSE)</f>
        <v>103895</v>
      </c>
      <c r="E294" s="20" t="str">
        <f>VLOOKUP(C294,ID!$1:$1048576,3,FALSE)</f>
        <v xml:space="preserve"> VICENTE ALONSO</v>
      </c>
      <c r="F294" s="20" t="str">
        <f>VLOOKUP(C294,ID!$1:$1048576,2,FALSE)</f>
        <v>ZUMARAN JORQUERA</v>
      </c>
      <c r="G294" s="2" t="str">
        <f>VLOOKUP(D294,CORREOS!$A$2:$B$570,2,FALSE)</f>
        <v>VZUMARAN@ANTAYHOTELES.CL</v>
      </c>
      <c r="H294" s="24" t="str">
        <f>VLOOKUP(A294,'Informe 2025'!$A$5:$C$164,3,FALSE)</f>
        <v>Decalogo del Buen trato</v>
      </c>
      <c r="I294">
        <f>VLOOKUP(H294,'Informe 2025'!$C$6:$M$166,11,FALSE)</f>
        <v>2</v>
      </c>
    </row>
    <row r="295" spans="1:9" x14ac:dyDescent="0.25">
      <c r="A295" s="2">
        <v>22</v>
      </c>
      <c r="B295" t="str">
        <f>VLOOKUP(A295,'Informe 2025'!$1:$1048576,2,FALSE)</f>
        <v>ABRIL</v>
      </c>
      <c r="C295" s="25" t="s">
        <v>1632</v>
      </c>
      <c r="D295" s="20" t="str">
        <f>VLOOKUP(C295,ID!$1:$1048576,4,FALSE)</f>
        <v>103252</v>
      </c>
      <c r="E295" s="20" t="str">
        <f>VLOOKUP(C295,ID!$1:$1048576,3,FALSE)</f>
        <v xml:space="preserve"> DIEGO ADRIAN</v>
      </c>
      <c r="F295" s="20" t="str">
        <f>VLOOKUP(C295,ID!$1:$1048576,2,FALSE)</f>
        <v>BARREAU FLORES</v>
      </c>
      <c r="G295" s="2" t="str">
        <f>VLOOKUP(D295,CORREOS!$A$2:$B$570,2,FALSE)</f>
        <v>DBARREAU@antayhoteles.cl</v>
      </c>
      <c r="H295" s="24" t="str">
        <f>VLOOKUP(A295,'Informe 2025'!$A$5:$C$164,3,FALSE)</f>
        <v>Decalogo del Buen trato</v>
      </c>
      <c r="I295">
        <f>VLOOKUP(H295,'Informe 2025'!$C$6:$M$166,11,FALSE)</f>
        <v>2</v>
      </c>
    </row>
    <row r="296" spans="1:9" x14ac:dyDescent="0.25">
      <c r="A296" s="2">
        <v>22</v>
      </c>
      <c r="B296" t="str">
        <f>VLOOKUP(A296,'Informe 2025'!$1:$1048576,2,FALSE)</f>
        <v>ABRIL</v>
      </c>
      <c r="C296" t="s">
        <v>1815</v>
      </c>
      <c r="D296" s="20" t="str">
        <f>VLOOKUP(C296,ID!$1:$1048576,4,FALSE)</f>
        <v>104068</v>
      </c>
      <c r="E296" s="20" t="str">
        <f>VLOOKUP(C296,ID!$1:$1048576,3,FALSE)</f>
        <v xml:space="preserve"> BRANDON NICOLAS</v>
      </c>
      <c r="F296" s="20" t="str">
        <f>VLOOKUP(C296,ID!$1:$1048576,2,FALSE)</f>
        <v>GOMEZ LOBOS</v>
      </c>
      <c r="G296" s="2" t="str">
        <f>VLOOKUP(D296,CORREOS!$A$2:$B$570,2,FALSE)</f>
        <v>BGLOBOS@ANTAYHOTELES.CL</v>
      </c>
      <c r="H296" s="24" t="str">
        <f>VLOOKUP(A296,'Informe 2025'!$A$5:$C$164,3,FALSE)</f>
        <v>Decalogo del Buen trato</v>
      </c>
      <c r="I296">
        <f>VLOOKUP(H296,'Informe 2025'!$C$6:$M$166,11,FALSE)</f>
        <v>2</v>
      </c>
    </row>
    <row r="297" spans="1:9" x14ac:dyDescent="0.25">
      <c r="A297" s="2">
        <v>23</v>
      </c>
      <c r="B297" t="str">
        <f>VLOOKUP(A297,'Informe 2025'!$1:$1048576,2,FALSE)</f>
        <v>ABRIL</v>
      </c>
      <c r="C297" s="25" t="s">
        <v>471</v>
      </c>
      <c r="D297" s="20" t="str">
        <f>VLOOKUP(C297,ID!$1:$1048576,4,FALSE)</f>
        <v>101575</v>
      </c>
      <c r="E297" s="20" t="str">
        <f>VLOOKUP(C297,ID!$1:$1048576,3,FALSE)</f>
        <v xml:space="preserve"> PRICILA FERNANDA</v>
      </c>
      <c r="F297" s="20" t="str">
        <f>VLOOKUP(C297,ID!$1:$1048576,2,FALSE)</f>
        <v>RAMIREZ ANDAUR</v>
      </c>
      <c r="G297" s="2" t="str">
        <f>VLOOKUP(D297,CORREOS!$A$2:$B$570,2,FALSE)</f>
        <v>PRICILAFERNANDA.RAMIREZ@ANTAYHOTELES.CL</v>
      </c>
      <c r="H297" s="24" t="str">
        <f>VLOOKUP(A297,'Informe 2025'!$A$5:$C$164,3,FALSE)</f>
        <v>Transtorno Espectro Autista con enfoque de derechos</v>
      </c>
      <c r="I297">
        <f>VLOOKUP(H297,'Informe 2025'!$C$6:$M$166,11,FALSE)</f>
        <v>8</v>
      </c>
    </row>
    <row r="298" spans="1:9" x14ac:dyDescent="0.25">
      <c r="A298" s="2">
        <v>23</v>
      </c>
      <c r="B298" t="str">
        <f>VLOOKUP(A298,'Informe 2025'!$1:$1048576,2,FALSE)</f>
        <v>ABRIL</v>
      </c>
      <c r="C298" s="25" t="s">
        <v>413</v>
      </c>
      <c r="D298" s="20" t="str">
        <f>VLOOKUP(C298,ID!$1:$1048576,4,FALSE)</f>
        <v>103432</v>
      </c>
      <c r="E298" s="20" t="str">
        <f>VLOOKUP(C298,ID!$1:$1048576,3,FALSE)</f>
        <v xml:space="preserve"> MARIA JOSE</v>
      </c>
      <c r="F298" s="20" t="str">
        <f>VLOOKUP(C298,ID!$1:$1048576,2,FALSE)</f>
        <v>MEDINA ALFARO</v>
      </c>
      <c r="G298" s="2" t="str">
        <f>VLOOKUP(D298,CORREOS!$A$2:$B$570,2,FALSE)</f>
        <v>MMALFARO@ANTAYHOTELES.CL</v>
      </c>
      <c r="H298" s="24" t="str">
        <f>VLOOKUP(A298,'Informe 2025'!$A$5:$C$164,3,FALSE)</f>
        <v>Transtorno Espectro Autista con enfoque de derechos</v>
      </c>
      <c r="I298">
        <f>VLOOKUP(H298,'Informe 2025'!$C$6:$M$166,11,FALSE)</f>
        <v>8</v>
      </c>
    </row>
    <row r="299" spans="1:9" x14ac:dyDescent="0.25">
      <c r="A299" s="2">
        <v>23</v>
      </c>
      <c r="B299" t="str">
        <f>VLOOKUP(A299,'Informe 2025'!$1:$1048576,2,FALSE)</f>
        <v>ABRIL</v>
      </c>
      <c r="C299" s="25" t="s">
        <v>1889</v>
      </c>
      <c r="D299" s="20" t="str">
        <f>VLOOKUP(C299,ID!$1:$1048576,4,FALSE)</f>
        <v>103431</v>
      </c>
      <c r="E299" s="20" t="str">
        <f>VLOOKUP(C299,ID!$1:$1048576,3,FALSE)</f>
        <v xml:space="preserve"> FERNANDA NICOLE</v>
      </c>
      <c r="F299" s="20" t="str">
        <f>VLOOKUP(C299,ID!$1:$1048576,2,FALSE)</f>
        <v>GUZMAN ALLENDES</v>
      </c>
      <c r="G299" s="2" t="e">
        <f>VLOOKUP(D299,CORREOS!$A$2:$B$570,2,FALSE)</f>
        <v>#N/A</v>
      </c>
      <c r="H299" s="24" t="str">
        <f>VLOOKUP(A299,'Informe 2025'!$A$5:$C$164,3,FALSE)</f>
        <v>Transtorno Espectro Autista con enfoque de derechos</v>
      </c>
      <c r="I299">
        <f>VLOOKUP(H299,'Informe 2025'!$C$6:$M$166,11,FALSE)</f>
        <v>8</v>
      </c>
    </row>
    <row r="300" spans="1:9" x14ac:dyDescent="0.25">
      <c r="A300" s="2">
        <v>23</v>
      </c>
      <c r="B300" t="str">
        <f>VLOOKUP(A300,'Informe 2025'!$1:$1048576,2,FALSE)</f>
        <v>ABRIL</v>
      </c>
      <c r="C300" s="25" t="s">
        <v>1666</v>
      </c>
      <c r="D300" s="20" t="str">
        <f>VLOOKUP(C300,ID!$1:$1048576,4,FALSE)</f>
        <v>102729</v>
      </c>
      <c r="E300" s="20" t="str">
        <f>VLOOKUP(C300,ID!$1:$1048576,3,FALSE)</f>
        <v xml:space="preserve"> DAMIAN IGNACIO</v>
      </c>
      <c r="F300" s="20" t="str">
        <f>VLOOKUP(C300,ID!$1:$1048576,2,FALSE)</f>
        <v>TRABUCCO SOTO</v>
      </c>
      <c r="G300" s="2" t="e">
        <f>VLOOKUP(D300,CORREOS!$A$2:$B$570,2,FALSE)</f>
        <v>#N/A</v>
      </c>
      <c r="H300" s="24" t="str">
        <f>VLOOKUP(A300,'Informe 2025'!$A$5:$C$164,3,FALSE)</f>
        <v>Transtorno Espectro Autista con enfoque de derechos</v>
      </c>
      <c r="I300">
        <f>VLOOKUP(H300,'Informe 2025'!$C$6:$M$166,11,FALSE)</f>
        <v>8</v>
      </c>
    </row>
    <row r="301" spans="1:9" x14ac:dyDescent="0.25">
      <c r="A301" s="2">
        <v>23</v>
      </c>
      <c r="B301" t="str">
        <f>VLOOKUP(A301,'Informe 2025'!$1:$1048576,2,FALSE)</f>
        <v>ABRIL</v>
      </c>
      <c r="C301" s="25" t="s">
        <v>1812</v>
      </c>
      <c r="D301" s="20" t="str">
        <f>VLOOKUP(C301,ID!$1:$1048576,4,FALSE)</f>
        <v>102795</v>
      </c>
      <c r="E301" s="20" t="str">
        <f>VLOOKUP(C301,ID!$1:$1048576,3,FALSE)</f>
        <v xml:space="preserve"> CATALINA FRANCISCA</v>
      </c>
      <c r="F301" s="20" t="str">
        <f>VLOOKUP(C301,ID!$1:$1048576,2,FALSE)</f>
        <v>CONTRERAS GONZALEZ</v>
      </c>
      <c r="G301" s="2" t="str">
        <f>VLOOKUP(D301,CORREOS!$A$2:$B$570,2,FALSE)</f>
        <v>CCGONZALEZ@ANTAYHOTELES.CL</v>
      </c>
      <c r="H301" s="24" t="str">
        <f>VLOOKUP(A301,'Informe 2025'!$A$5:$C$164,3,FALSE)</f>
        <v>Transtorno Espectro Autista con enfoque de derechos</v>
      </c>
      <c r="I301">
        <f>VLOOKUP(H301,'Informe 2025'!$C$6:$M$166,11,FALSE)</f>
        <v>8</v>
      </c>
    </row>
    <row r="302" spans="1:9" x14ac:dyDescent="0.25">
      <c r="A302" s="2">
        <v>23</v>
      </c>
      <c r="B302" t="str">
        <f>VLOOKUP(A302,'Informe 2025'!$1:$1048576,2,FALSE)</f>
        <v>ABRIL</v>
      </c>
      <c r="C302" s="25" t="s">
        <v>283</v>
      </c>
      <c r="D302" s="20" t="str">
        <f>VLOOKUP(C302,ID!$1:$1048576,4,FALSE)</f>
        <v>102996</v>
      </c>
      <c r="E302" s="20" t="str">
        <f>VLOOKUP(C302,ID!$1:$1048576,3,FALSE)</f>
        <v xml:space="preserve"> CATALINA VICTORIA</v>
      </c>
      <c r="F302" s="20" t="str">
        <f>VLOOKUP(C302,ID!$1:$1048576,2,FALSE)</f>
        <v>CABEZAS MENA</v>
      </c>
      <c r="G302" s="2" t="str">
        <f>VLOOKUP(D302,CORREOS!$A$2:$B$570,2,FALSE)</f>
        <v>CCABEZAS@ANTAYHOTELES.CL</v>
      </c>
      <c r="H302" s="24" t="str">
        <f>VLOOKUP(A302,'Informe 2025'!$A$5:$C$164,3,FALSE)</f>
        <v>Transtorno Espectro Autista con enfoque de derechos</v>
      </c>
      <c r="I302">
        <f>VLOOKUP(H302,'Informe 2025'!$C$6:$M$166,11,FALSE)</f>
        <v>8</v>
      </c>
    </row>
    <row r="303" spans="1:9" x14ac:dyDescent="0.25">
      <c r="A303" s="2">
        <v>23</v>
      </c>
      <c r="B303" t="str">
        <f>VLOOKUP(A303,'Informe 2025'!$1:$1048576,2,FALSE)</f>
        <v>ABRIL</v>
      </c>
      <c r="C303" t="s">
        <v>520</v>
      </c>
      <c r="D303" s="20" t="str">
        <f>VLOOKUP(C303,ID!$1:$1048576,4,FALSE)</f>
        <v>102459</v>
      </c>
      <c r="E303" s="20" t="str">
        <f>VLOOKUP(C303,ID!$1:$1048576,3,FALSE)</f>
        <v xml:space="preserve"> RENATO BRANCO</v>
      </c>
      <c r="F303" s="20" t="str">
        <f>VLOOKUP(C303,ID!$1:$1048576,2,FALSE)</f>
        <v>VALDIVIA ANDRADE</v>
      </c>
      <c r="G303" s="2" t="str">
        <f>VLOOKUP(D303,CORREOS!$A$2:$B$570,2,FALSE)</f>
        <v>RVALDIVIA@ANTAYHOTELES.CL</v>
      </c>
      <c r="H303" s="24" t="str">
        <f>VLOOKUP(A303,'Informe 2025'!$A$5:$C$164,3,FALSE)</f>
        <v>Transtorno Espectro Autista con enfoque de derechos</v>
      </c>
      <c r="I303">
        <f>VLOOKUP(H303,'Informe 2025'!$C$6:$M$166,11,FALSE)</f>
        <v>8</v>
      </c>
    </row>
    <row r="304" spans="1:9" x14ac:dyDescent="0.25">
      <c r="A304" s="2">
        <v>23</v>
      </c>
      <c r="B304" t="str">
        <f>VLOOKUP(A304,'Informe 2025'!$1:$1048576,2,FALSE)</f>
        <v>ABRIL</v>
      </c>
      <c r="C304" s="25" t="s">
        <v>473</v>
      </c>
      <c r="D304" s="20" t="str">
        <f>VLOOKUP(C304,ID!$1:$1048576,4,FALSE)</f>
        <v>103172</v>
      </c>
      <c r="E304" s="20" t="str">
        <f>VLOOKUP(C304,ID!$1:$1048576,3,FALSE)</f>
        <v xml:space="preserve"> ROMINA MADDELEINE</v>
      </c>
      <c r="F304" s="20" t="str">
        <f>VLOOKUP(C304,ID!$1:$1048576,2,FALSE)</f>
        <v>RAMOS MARQUEZ</v>
      </c>
      <c r="G304" s="2" t="str">
        <f>VLOOKUP(D304,CORREOS!$A$2:$B$570,2,FALSE)</f>
        <v>RRMARQUEZ@CL.LUCKIA.COM</v>
      </c>
      <c r="H304" s="24" t="str">
        <f>VLOOKUP(A304,'Informe 2025'!$A$5:$C$164,3,FALSE)</f>
        <v>Transtorno Espectro Autista con enfoque de derechos</v>
      </c>
      <c r="I304">
        <f>VLOOKUP(H304,'Informe 2025'!$C$6:$M$166,11,FALSE)</f>
        <v>8</v>
      </c>
    </row>
    <row r="305" spans="1:9" x14ac:dyDescent="0.25">
      <c r="A305" s="2">
        <v>23</v>
      </c>
      <c r="B305" t="str">
        <f>VLOOKUP(A305,'Informe 2025'!$1:$1048576,2,FALSE)</f>
        <v>ABRIL</v>
      </c>
      <c r="C305" s="25" t="s">
        <v>1810</v>
      </c>
      <c r="D305" s="20" t="str">
        <f>VLOOKUP(C305,ID!$1:$1048576,4,FALSE)</f>
        <v>101425</v>
      </c>
      <c r="E305" s="20" t="str">
        <f>VLOOKUP(C305,ID!$1:$1048576,3,FALSE)</f>
        <v xml:space="preserve"> KAREN PAMELA</v>
      </c>
      <c r="F305" s="20" t="str">
        <f>VLOOKUP(C305,ID!$1:$1048576,2,FALSE)</f>
        <v>SANTANA JUAREZ</v>
      </c>
      <c r="G305" s="2" t="str">
        <f>VLOOKUP(D305,CORREOS!$A$2:$B$570,2,FALSE)</f>
        <v>KARENPAMELA.SANTANA@antayhoteles.cl</v>
      </c>
      <c r="H305" s="24" t="str">
        <f>VLOOKUP(A305,'Informe 2025'!$A$5:$C$164,3,FALSE)</f>
        <v>Transtorno Espectro Autista con enfoque de derechos</v>
      </c>
      <c r="I305">
        <f>VLOOKUP(H305,'Informe 2025'!$C$6:$M$166,11,FALSE)</f>
        <v>8</v>
      </c>
    </row>
    <row r="306" spans="1:9" x14ac:dyDescent="0.25">
      <c r="A306" s="2">
        <v>23</v>
      </c>
      <c r="B306" t="str">
        <f>VLOOKUP(A306,'Informe 2025'!$1:$1048576,2,FALSE)</f>
        <v>ABRIL</v>
      </c>
      <c r="C306" s="25" t="s">
        <v>476</v>
      </c>
      <c r="D306" s="20" t="str">
        <f>VLOOKUP(C306,ID!$1:$1048576,4,FALSE)</f>
        <v>102872</v>
      </c>
      <c r="E306" s="20" t="str">
        <f>VLOOKUP(C306,ID!$1:$1048576,3,FALSE)</f>
        <v xml:space="preserve"> ANDREA JULIAT</v>
      </c>
      <c r="F306" s="20" t="str">
        <f>VLOOKUP(C306,ID!$1:$1048576,2,FALSE)</f>
        <v>RETAMALES HURTADO</v>
      </c>
      <c r="G306" s="2" t="str">
        <f>VLOOKUP(D306,CORREOS!$A$2:$B$570,2,FALSE)</f>
        <v>ARETAMALES@ANTAYHOTELES.CL</v>
      </c>
      <c r="H306" s="24" t="str">
        <f>VLOOKUP(A306,'Informe 2025'!$A$5:$C$164,3,FALSE)</f>
        <v>Transtorno Espectro Autista con enfoque de derechos</v>
      </c>
      <c r="I306">
        <f>VLOOKUP(H306,'Informe 2025'!$C$6:$M$166,11,FALSE)</f>
        <v>8</v>
      </c>
    </row>
    <row r="307" spans="1:9" x14ac:dyDescent="0.25">
      <c r="A307" s="2">
        <v>23</v>
      </c>
      <c r="B307" t="str">
        <f>VLOOKUP(A307,'Informe 2025'!$1:$1048576,2,FALSE)</f>
        <v>ABRIL</v>
      </c>
      <c r="C307" s="25" t="s">
        <v>300</v>
      </c>
      <c r="D307" s="20" t="str">
        <f>VLOOKUP(C307,ID!$1:$1048576,4,FALSE)</f>
        <v>101568</v>
      </c>
      <c r="E307" s="20" t="str">
        <f>VLOOKUP(C307,ID!$1:$1048576,3,FALSE)</f>
        <v xml:space="preserve"> FERNANDA BEATRIZ</v>
      </c>
      <c r="F307" s="20" t="str">
        <f>VLOOKUP(C307,ID!$1:$1048576,2,FALSE)</f>
        <v>CARVAJAL MEDINA</v>
      </c>
      <c r="G307" s="2" t="str">
        <f>VLOOKUP(D307,CORREOS!$A$2:$B$570,2,FALSE)</f>
        <v>FERNANDABEATRIZ.CARVAJAL@ANTAYHOTELES.CL</v>
      </c>
      <c r="H307" s="24" t="str">
        <f>VLOOKUP(A307,'Informe 2025'!$A$5:$C$164,3,FALSE)</f>
        <v>Transtorno Espectro Autista con enfoque de derechos</v>
      </c>
      <c r="I307">
        <f>VLOOKUP(H307,'Informe 2025'!$C$6:$M$166,11,FALSE)</f>
        <v>8</v>
      </c>
    </row>
    <row r="308" spans="1:9" x14ac:dyDescent="0.25">
      <c r="A308" s="2">
        <v>23</v>
      </c>
      <c r="B308" t="str">
        <f>VLOOKUP(A308,'Informe 2025'!$1:$1048576,2,FALSE)</f>
        <v>ABRIL</v>
      </c>
      <c r="C308" s="25" t="s">
        <v>441</v>
      </c>
      <c r="D308" s="20" t="str">
        <f>VLOOKUP(C308,ID!$1:$1048576,4,FALSE)</f>
        <v>102299</v>
      </c>
      <c r="E308" s="20" t="str">
        <f>VLOOKUP(C308,ID!$1:$1048576,3,FALSE)</f>
        <v xml:space="preserve"> CARLA ELENA</v>
      </c>
      <c r="F308" s="20" t="str">
        <f>VLOOKUP(C308,ID!$1:$1048576,2,FALSE)</f>
        <v>OLIVARES VIÑALES</v>
      </c>
      <c r="G308" s="2" t="str">
        <f>VLOOKUP(D308,CORREOS!$A$2:$B$570,2,FALSE)</f>
        <v>COVINALES@ANTAYHOTELES.CL</v>
      </c>
      <c r="H308" s="24" t="str">
        <f>VLOOKUP(A308,'Informe 2025'!$A$5:$C$164,3,FALSE)</f>
        <v>Transtorno Espectro Autista con enfoque de derechos</v>
      </c>
      <c r="I308">
        <f>VLOOKUP(H308,'Informe 2025'!$C$6:$M$166,11,FALSE)</f>
        <v>8</v>
      </c>
    </row>
    <row r="309" spans="1:9" x14ac:dyDescent="0.25">
      <c r="A309" s="2">
        <v>23</v>
      </c>
      <c r="B309" t="str">
        <f>VLOOKUP(A309,'Informe 2025'!$1:$1048576,2,FALSE)</f>
        <v>ABRIL</v>
      </c>
      <c r="C309" s="25" t="s">
        <v>237</v>
      </c>
      <c r="D309" s="20" t="str">
        <f>VLOOKUP(C309,ID!$1:$1048576,4,FALSE)</f>
        <v>102935</v>
      </c>
      <c r="E309" s="20" t="str">
        <f>VLOOKUP(C309,ID!$1:$1048576,3,FALSE)</f>
        <v xml:space="preserve"> MITZY FERNANDA</v>
      </c>
      <c r="F309" s="20" t="str">
        <f>VLOOKUP(C309,ID!$1:$1048576,2,FALSE)</f>
        <v>ACUÑA PAEZ</v>
      </c>
      <c r="G309" s="2" t="str">
        <f>VLOOKUP(D309,CORREOS!$A$2:$B$570,2,FALSE)</f>
        <v>MACUNA@ANTAYHOTELES.CL</v>
      </c>
      <c r="H309" s="24" t="str">
        <f>VLOOKUP(A309,'Informe 2025'!$A$5:$C$164,3,FALSE)</f>
        <v>Transtorno Espectro Autista con enfoque de derechos</v>
      </c>
      <c r="I309">
        <f>VLOOKUP(H309,'Informe 2025'!$C$6:$M$166,11,FALSE)</f>
        <v>8</v>
      </c>
    </row>
    <row r="310" spans="1:9" x14ac:dyDescent="0.25">
      <c r="A310" s="2">
        <v>23</v>
      </c>
      <c r="B310" t="str">
        <f>VLOOKUP(A310,'Informe 2025'!$1:$1048576,2,FALSE)</f>
        <v>ABRIL</v>
      </c>
      <c r="C310" s="25" t="s">
        <v>366</v>
      </c>
      <c r="D310" s="20" t="str">
        <f>VLOOKUP(C310,ID!$1:$1048576,4,FALSE)</f>
        <v>103222</v>
      </c>
      <c r="E310" s="20" t="str">
        <f>VLOOKUP(C310,ID!$1:$1048576,3,FALSE)</f>
        <v xml:space="preserve"> ALFREDO ANDRES</v>
      </c>
      <c r="F310" s="20" t="str">
        <f>VLOOKUP(C310,ID!$1:$1048576,2,FALSE)</f>
        <v>GONZALEZ ALVAREZ</v>
      </c>
      <c r="G310" s="2" t="str">
        <f>VLOOKUP(D310,CORREOS!$A$2:$B$570,2,FALSE)</f>
        <v>AGALVAREZ@CL.LUCKIA.COM</v>
      </c>
      <c r="H310" s="24" t="str">
        <f>VLOOKUP(A310,'Informe 2025'!$A$5:$C$164,3,FALSE)</f>
        <v>Transtorno Espectro Autista con enfoque de derechos</v>
      </c>
      <c r="I310">
        <f>VLOOKUP(H310,'Informe 2025'!$C$6:$M$166,11,FALSE)</f>
        <v>8</v>
      </c>
    </row>
    <row r="311" spans="1:9" x14ac:dyDescent="0.25">
      <c r="A311" s="2">
        <v>23</v>
      </c>
      <c r="B311" t="str">
        <f>VLOOKUP(A311,'Informe 2025'!$1:$1048576,2,FALSE)</f>
        <v>ABRIL</v>
      </c>
      <c r="C311" s="25" t="s">
        <v>255</v>
      </c>
      <c r="D311" s="20" t="str">
        <f>VLOOKUP(C311,ID!$1:$1048576,4,FALSE)</f>
        <v>102692</v>
      </c>
      <c r="E311" s="20" t="str">
        <f>VLOOKUP(C311,ID!$1:$1048576,3,FALSE)</f>
        <v xml:space="preserve"> CAMILA</v>
      </c>
      <c r="F311" s="20" t="str">
        <f>VLOOKUP(C311,ID!$1:$1048576,2,FALSE)</f>
        <v>ALVAREZ TELLO</v>
      </c>
      <c r="G311" s="2" t="str">
        <f>VLOOKUP(D311,CORREOS!$A$2:$B$570,2,FALSE)</f>
        <v>CATELLO@ANTAYHOTELES.CL</v>
      </c>
      <c r="H311" s="24" t="str">
        <f>VLOOKUP(A311,'Informe 2025'!$A$5:$C$164,3,FALSE)</f>
        <v>Transtorno Espectro Autista con enfoque de derechos</v>
      </c>
      <c r="I311">
        <f>VLOOKUP(H311,'Informe 2025'!$C$6:$M$166,11,FALSE)</f>
        <v>8</v>
      </c>
    </row>
    <row r="312" spans="1:9" x14ac:dyDescent="0.25">
      <c r="A312" s="2">
        <v>23</v>
      </c>
      <c r="B312" t="str">
        <f>VLOOKUP(A312,'Informe 2025'!$1:$1048576,2,FALSE)</f>
        <v>ABRIL</v>
      </c>
      <c r="C312" s="25" t="s">
        <v>322</v>
      </c>
      <c r="D312" s="20" t="str">
        <f>VLOOKUP(C312,ID!$1:$1048576,4,FALSE)</f>
        <v>101506</v>
      </c>
      <c r="E312" s="20" t="str">
        <f>VLOOKUP(C312,ID!$1:$1048576,3,FALSE)</f>
        <v xml:space="preserve"> PAOLA MAGDALENA</v>
      </c>
      <c r="F312" s="20" t="str">
        <f>VLOOKUP(C312,ID!$1:$1048576,2,FALSE)</f>
        <v>CORTES CORTES</v>
      </c>
      <c r="G312" s="2" t="str">
        <f>VLOOKUP(D312,CORREOS!$A$2:$B$570,2,FALSE)</f>
        <v>PAOLA.CORTES@CL.LUCKIA.COM</v>
      </c>
      <c r="H312" s="24" t="str">
        <f>VLOOKUP(A312,'Informe 2025'!$A$5:$C$164,3,FALSE)</f>
        <v>Transtorno Espectro Autista con enfoque de derechos</v>
      </c>
      <c r="I312">
        <f>VLOOKUP(H312,'Informe 2025'!$C$6:$M$166,11,FALSE)</f>
        <v>8</v>
      </c>
    </row>
    <row r="313" spans="1:9" x14ac:dyDescent="0.25">
      <c r="A313" s="2">
        <v>23</v>
      </c>
      <c r="B313" t="str">
        <f>VLOOKUP(A313,'Informe 2025'!$1:$1048576,2,FALSE)</f>
        <v>ABRIL</v>
      </c>
      <c r="C313" s="25" t="s">
        <v>368</v>
      </c>
      <c r="D313" s="20" t="str">
        <f>VLOOKUP(C313,ID!$1:$1048576,4,FALSE)</f>
        <v>102709</v>
      </c>
      <c r="E313" s="20" t="str">
        <f>VLOOKUP(C313,ID!$1:$1048576,3,FALSE)</f>
        <v xml:space="preserve"> KATALINA ESTEFANY</v>
      </c>
      <c r="F313" s="20" t="str">
        <f>VLOOKUP(C313,ID!$1:$1048576,2,FALSE)</f>
        <v>GONZALEZ CAYO</v>
      </c>
      <c r="G313" s="2" t="str">
        <f>VLOOKUP(D313,CORREOS!$A$2:$B$570,2,FALSE)</f>
        <v>KCAYO@ANTAYHOTELES.CL</v>
      </c>
      <c r="H313" s="24" t="str">
        <f>VLOOKUP(A313,'Informe 2025'!$A$5:$C$164,3,FALSE)</f>
        <v>Transtorno Espectro Autista con enfoque de derechos</v>
      </c>
      <c r="I313">
        <f>VLOOKUP(H313,'Informe 2025'!$C$6:$M$166,11,FALSE)</f>
        <v>8</v>
      </c>
    </row>
    <row r="314" spans="1:9" x14ac:dyDescent="0.25">
      <c r="A314" s="2">
        <v>23</v>
      </c>
      <c r="B314" t="str">
        <f>VLOOKUP(A314,'Informe 2025'!$1:$1048576,2,FALSE)</f>
        <v>ABRIL</v>
      </c>
      <c r="C314" s="25" t="s">
        <v>390</v>
      </c>
      <c r="D314" s="20" t="str">
        <f>VLOOKUP(C314,ID!$1:$1048576,4,FALSE)</f>
        <v>102642</v>
      </c>
      <c r="E314" s="20" t="str">
        <f>VLOOKUP(C314,ID!$1:$1048576,3,FALSE)</f>
        <v xml:space="preserve"> JOSE LUIS</v>
      </c>
      <c r="F314" s="20" t="str">
        <f>VLOOKUP(C314,ID!$1:$1048576,2,FALSE)</f>
        <v>JIMENEZ VILLALOBOS</v>
      </c>
      <c r="G314" s="2" t="str">
        <f>VLOOKUP(D314,CORREOS!$A$2:$B$570,2,FALSE)</f>
        <v>JJVILLALOBOS@ANTAYHOTELES.CL</v>
      </c>
      <c r="H314" s="24" t="str">
        <f>VLOOKUP(A314,'Informe 2025'!$A$5:$C$164,3,FALSE)</f>
        <v>Transtorno Espectro Autista con enfoque de derechos</v>
      </c>
      <c r="I314">
        <f>VLOOKUP(H314,'Informe 2025'!$C$6:$M$166,11,FALSE)</f>
        <v>8</v>
      </c>
    </row>
    <row r="315" spans="1:9" x14ac:dyDescent="0.25">
      <c r="A315" s="2">
        <v>23</v>
      </c>
      <c r="B315" t="str">
        <f>VLOOKUP(A315,'Informe 2025'!$1:$1048576,2,FALSE)</f>
        <v>ABRIL</v>
      </c>
      <c r="C315" s="25" t="s">
        <v>531</v>
      </c>
      <c r="D315" s="20" t="str">
        <f>VLOOKUP(C315,ID!$1:$1048576,4,FALSE)</f>
        <v>102866</v>
      </c>
      <c r="E315" s="20" t="str">
        <f>VLOOKUP(C315,ID!$1:$1048576,3,FALSE)</f>
        <v xml:space="preserve"> CRISTOPHER</v>
      </c>
      <c r="F315" s="20" t="str">
        <f>VLOOKUP(C315,ID!$1:$1048576,2,FALSE)</f>
        <v>VILLARROEL LUNA</v>
      </c>
      <c r="G315" s="2" t="str">
        <f>VLOOKUP(D315,CORREOS!$A$2:$B$570,2,FALSE)</f>
        <v>CVILLARROEL@ANTAYHOTELES.CL</v>
      </c>
      <c r="H315" s="24" t="str">
        <f>VLOOKUP(A315,'Informe 2025'!$A$5:$C$164,3,FALSE)</f>
        <v>Transtorno Espectro Autista con enfoque de derechos</v>
      </c>
      <c r="I315">
        <f>VLOOKUP(H315,'Informe 2025'!$C$6:$M$166,11,FALSE)</f>
        <v>8</v>
      </c>
    </row>
    <row r="316" spans="1:9" x14ac:dyDescent="0.25">
      <c r="A316" s="2">
        <v>23</v>
      </c>
      <c r="B316" t="str">
        <f>VLOOKUP(A316,'Informe 2025'!$1:$1048576,2,FALSE)</f>
        <v>ABRIL</v>
      </c>
      <c r="C316" s="25" t="s">
        <v>488</v>
      </c>
      <c r="D316" s="20" t="str">
        <f>VLOOKUP(C316,ID!$1:$1048576,4,FALSE)</f>
        <v>101691</v>
      </c>
      <c r="E316" s="20" t="str">
        <f>VLOOKUP(C316,ID!$1:$1048576,3,FALSE)</f>
        <v xml:space="preserve"> MARIA JOSE</v>
      </c>
      <c r="F316" s="20" t="str">
        <f>VLOOKUP(C316,ID!$1:$1048576,2,FALSE)</f>
        <v>ROJAS FERNANDEZ</v>
      </c>
      <c r="G316" s="2" t="str">
        <f>VLOOKUP(D316,CORREOS!$A$2:$B$570,2,FALSE)</f>
        <v>MARIAJOSE.ROJAS@ANTAYHOTELES.CL</v>
      </c>
      <c r="H316" s="24" t="str">
        <f>VLOOKUP(A316,'Informe 2025'!$A$5:$C$164,3,FALSE)</f>
        <v>Transtorno Espectro Autista con enfoque de derechos</v>
      </c>
      <c r="I316">
        <f>VLOOKUP(H316,'Informe 2025'!$C$6:$M$166,11,FALSE)</f>
        <v>8</v>
      </c>
    </row>
    <row r="317" spans="1:9" x14ac:dyDescent="0.25">
      <c r="A317" s="2">
        <v>24</v>
      </c>
      <c r="B317" t="str">
        <f>VLOOKUP(A317,'Informe 2025'!$1:$1048576,2,FALSE)</f>
        <v>ABRIL</v>
      </c>
      <c r="C317" t="s">
        <v>434</v>
      </c>
      <c r="D317" s="20" t="str">
        <f>VLOOKUP(C317,ID!$1:$1048576,4,FALSE)</f>
        <v>103065</v>
      </c>
      <c r="E317" s="20" t="str">
        <f>VLOOKUP(C317,ID!$1:$1048576,3,FALSE)</f>
        <v xml:space="preserve"> FELIPE</v>
      </c>
      <c r="F317" s="20" t="str">
        <f>VLOOKUP(C317,ID!$1:$1048576,2,FALSE)</f>
        <v>NAVARRETE LISBOA</v>
      </c>
      <c r="G317" s="2" t="str">
        <f>VLOOKUP(D317,CORREOS!$A$2:$B$570,2,FALSE)</f>
        <v>FNAVARRETE@ANTAYHOTELES.CL</v>
      </c>
      <c r="H317" s="24" t="str">
        <f>VLOOKUP(A317,'Informe 2025'!$A$5:$C$164,3,FALSE)</f>
        <v>Capacitaciones Parrilladas</v>
      </c>
      <c r="I317">
        <f>VLOOKUP(H317,'Informe 2025'!$C$6:$M$166,11,FALSE)</f>
        <v>8</v>
      </c>
    </row>
    <row r="318" spans="1:9" x14ac:dyDescent="0.25">
      <c r="A318" s="2">
        <v>24</v>
      </c>
      <c r="B318" t="str">
        <f>VLOOKUP(A318,'Informe 2025'!$1:$1048576,2,FALSE)</f>
        <v>ABRIL</v>
      </c>
      <c r="C318" t="s">
        <v>511</v>
      </c>
      <c r="D318" s="20" t="str">
        <f>VLOOKUP(C318,ID!$1:$1048576,4,FALSE)</f>
        <v>101536</v>
      </c>
      <c r="E318" s="20" t="str">
        <f>VLOOKUP(C318,ID!$1:$1048576,3,FALSE)</f>
        <v xml:space="preserve"> NICOLAS</v>
      </c>
      <c r="F318" s="20" t="str">
        <f>VLOOKUP(C318,ID!$1:$1048576,2,FALSE)</f>
        <v>TELLO BARREAU</v>
      </c>
      <c r="G318" s="2" t="str">
        <f>VLOOKUP(D318,CORREOS!$A$2:$B$570,2,FALSE)</f>
        <v>NICOLAS.TELLO@ANTAYHOTELES.CL</v>
      </c>
      <c r="H318" s="24" t="str">
        <f>VLOOKUP(A318,'Informe 2025'!$A$5:$C$164,3,FALSE)</f>
        <v>Capacitaciones Parrilladas</v>
      </c>
      <c r="I318">
        <f>VLOOKUP(H318,'Informe 2025'!$C$6:$M$166,11,FALSE)</f>
        <v>8</v>
      </c>
    </row>
    <row r="319" spans="1:9" x14ac:dyDescent="0.25">
      <c r="A319" s="2">
        <v>25</v>
      </c>
      <c r="B319" t="str">
        <f>VLOOKUP(A319,'Informe 2025'!$1:$1048576,2,FALSE)</f>
        <v>ABRIL</v>
      </c>
      <c r="C319" t="s">
        <v>365</v>
      </c>
      <c r="D319" s="20" t="str">
        <f>VLOOKUP(C319,ID!$1:$1048576,4,FALSE)</f>
        <v>101556</v>
      </c>
      <c r="E319" s="20" t="str">
        <f>VLOOKUP(C319,ID!$1:$1048576,3,FALSE)</f>
        <v xml:space="preserve"> VANIA ORIELE</v>
      </c>
      <c r="F319" s="20" t="str">
        <f>VLOOKUP(C319,ID!$1:$1048576,2,FALSE)</f>
        <v>GOMEZ VEGA</v>
      </c>
      <c r="G319" s="2" t="str">
        <f>VLOOKUP(D319,CORREOS!$A$2:$B$570,2,FALSE)</f>
        <v>VGOMEZ@ANTAYHOTELES.CL</v>
      </c>
      <c r="H319" s="24" t="str">
        <f>VLOOKUP(A319,'Informe 2025'!$A$5:$C$164,3,FALSE)</f>
        <v>Capacitación Cocina Moderna y Emplatados</v>
      </c>
      <c r="I319">
        <f>VLOOKUP(H319,'Informe 2025'!$C$6:$M$166,11,FALSE)</f>
        <v>16</v>
      </c>
    </row>
    <row r="320" spans="1:9" x14ac:dyDescent="0.25">
      <c r="A320" s="2">
        <v>25</v>
      </c>
      <c r="B320" t="str">
        <f>VLOOKUP(A320,'Informe 2025'!$1:$1048576,2,FALSE)</f>
        <v>ABRIL</v>
      </c>
      <c r="C320" t="s">
        <v>344</v>
      </c>
      <c r="D320" s="20" t="str">
        <f>VLOOKUP(C320,ID!$1:$1048576,4,FALSE)</f>
        <v>102787</v>
      </c>
      <c r="E320" s="20" t="str">
        <f>VLOOKUP(C320,ID!$1:$1048576,3,FALSE)</f>
        <v xml:space="preserve"> KARINA PATRICIA</v>
      </c>
      <c r="F320" s="20" t="str">
        <f>VLOOKUP(C320,ID!$1:$1048576,2,FALSE)</f>
        <v>FLORES MENDOZA</v>
      </c>
      <c r="G320" s="2" t="str">
        <f>VLOOKUP(D320,CORREOS!$A$2:$B$570,2,FALSE)</f>
        <v>KFMENDOZA@ANTAYHOTELES.CL</v>
      </c>
      <c r="H320" s="24" t="str">
        <f>VLOOKUP(A320,'Informe 2025'!$A$5:$C$164,3,FALSE)</f>
        <v>Capacitación Cocina Moderna y Emplatados</v>
      </c>
      <c r="I320">
        <f>VLOOKUP(H320,'Informe 2025'!$C$6:$M$166,11,FALSE)</f>
        <v>16</v>
      </c>
    </row>
    <row r="321" spans="1:9" x14ac:dyDescent="0.25">
      <c r="A321" s="2">
        <v>25</v>
      </c>
      <c r="B321" t="str">
        <f>VLOOKUP(A321,'Informe 2025'!$1:$1048576,2,FALSE)</f>
        <v>ABRIL</v>
      </c>
      <c r="C321" t="s">
        <v>297</v>
      </c>
      <c r="D321" s="20" t="str">
        <f>VLOOKUP(C321,ID!$1:$1048576,4,FALSE)</f>
        <v>101535</v>
      </c>
      <c r="E321" s="20" t="str">
        <f>VLOOKUP(C321,ID!$1:$1048576,3,FALSE)</f>
        <v xml:space="preserve"> BETZABET ALEJANDRA</v>
      </c>
      <c r="F321" s="20" t="str">
        <f>VLOOKUP(C321,ID!$1:$1048576,2,FALSE)</f>
        <v>CARREÑO PIZARRA</v>
      </c>
      <c r="G321" s="2" t="str">
        <f>VLOOKUP(D321,CORREOS!$A$2:$B$570,2,FALSE)</f>
        <v>BETZABETALEJANDRA.CARRENO@ANTAYHOTELES.CL</v>
      </c>
      <c r="H321" s="24" t="str">
        <f>VLOOKUP(A321,'Informe 2025'!$A$5:$C$164,3,FALSE)</f>
        <v>Capacitación Cocina Moderna y Emplatados</v>
      </c>
      <c r="I321">
        <f>VLOOKUP(H321,'Informe 2025'!$C$6:$M$166,11,FALSE)</f>
        <v>16</v>
      </c>
    </row>
    <row r="322" spans="1:9" x14ac:dyDescent="0.25">
      <c r="A322" s="2">
        <v>26</v>
      </c>
      <c r="B322" t="str">
        <f>VLOOKUP(A322,'Informe 2025'!$1:$1048576,2,FALSE)</f>
        <v>ABRIL</v>
      </c>
      <c r="C322" t="s">
        <v>468</v>
      </c>
      <c r="D322" s="20" t="str">
        <f>VLOOKUP(C322,ID!$1:$1048576,4,FALSE)</f>
        <v>100980</v>
      </c>
      <c r="E322" s="20" t="str">
        <f>VLOOKUP(C322,ID!$1:$1048576,3,FALSE)</f>
        <v xml:space="preserve"> STEFANO</v>
      </c>
      <c r="F322" s="20" t="str">
        <f>VLOOKUP(C322,ID!$1:$1048576,2,FALSE)</f>
        <v>PULS</v>
      </c>
      <c r="G322" s="2" t="str">
        <f>VLOOKUP(D322,CORREOS!$A$2:$B$570,2,FALSE)</f>
        <v>SPULS@ANTAYHOTELES.CL</v>
      </c>
      <c r="H322" s="24" t="str">
        <f>VLOOKUP(A322,'Informe 2025'!$A$5:$C$164,3,FALSE)</f>
        <v>Capacitacion maquinaria de Cocina</v>
      </c>
      <c r="I322">
        <f>VLOOKUP(H322,'Informe 2025'!$C$6:$M$166,11,FALSE)</f>
        <v>6</v>
      </c>
    </row>
    <row r="323" spans="1:9" x14ac:dyDescent="0.25">
      <c r="A323" s="2">
        <v>26</v>
      </c>
      <c r="B323" t="str">
        <f>VLOOKUP(A323,'Informe 2025'!$1:$1048576,2,FALSE)</f>
        <v>ABRIL</v>
      </c>
      <c r="C323" t="s">
        <v>439</v>
      </c>
      <c r="D323" s="20" t="str">
        <f>VLOOKUP(C323,ID!$1:$1048576,4,FALSE)</f>
        <v>102898</v>
      </c>
      <c r="E323" s="20" t="str">
        <f>VLOOKUP(C323,ID!$1:$1048576,3,FALSE)</f>
        <v xml:space="preserve"> PATRICIO ANDRES</v>
      </c>
      <c r="F323" s="20" t="str">
        <f>VLOOKUP(C323,ID!$1:$1048576,2,FALSE)</f>
        <v>OLATE VALDES</v>
      </c>
      <c r="G323" s="2" t="str">
        <f>VLOOKUP(D323,CORREOS!$A$2:$B$570,2,FALSE)</f>
        <v>POLATE@ANTAYHOTELES.CL</v>
      </c>
      <c r="H323" s="24" t="str">
        <f>VLOOKUP(A323,'Informe 2025'!$A$5:$C$164,3,FALSE)</f>
        <v>Capacitacion maquinaria de Cocina</v>
      </c>
      <c r="I323">
        <f>VLOOKUP(H323,'Informe 2025'!$C$6:$M$166,11,FALSE)</f>
        <v>6</v>
      </c>
    </row>
    <row r="324" spans="1:9" x14ac:dyDescent="0.25">
      <c r="A324" s="2">
        <v>26</v>
      </c>
      <c r="B324" t="str">
        <f>VLOOKUP(A324,'Informe 2025'!$1:$1048576,2,FALSE)</f>
        <v>ABRIL</v>
      </c>
      <c r="C324" t="s">
        <v>1621</v>
      </c>
      <c r="D324" s="20" t="str">
        <f>VLOOKUP(C324,ID!$1:$1048576,4,FALSE)</f>
        <v>102317</v>
      </c>
      <c r="E324" s="20" t="str">
        <f>VLOOKUP(C324,ID!$1:$1048576,3,FALSE)</f>
        <v xml:space="preserve"> BIANCA DANIELA</v>
      </c>
      <c r="F324" s="20" t="str">
        <f>VLOOKUP(C324,ID!$1:$1048576,2,FALSE)</f>
        <v>AGUILERA JIMENEZ</v>
      </c>
      <c r="G324" s="2" t="e">
        <f>VLOOKUP(D324,CORREOS!$A$2:$B$570,2,FALSE)</f>
        <v>#N/A</v>
      </c>
      <c r="H324" s="24" t="str">
        <f>VLOOKUP(A324,'Informe 2025'!$A$5:$C$164,3,FALSE)</f>
        <v>Capacitacion maquinaria de Cocina</v>
      </c>
      <c r="I324">
        <f>VLOOKUP(H324,'Informe 2025'!$C$6:$M$166,11,FALSE)</f>
        <v>6</v>
      </c>
    </row>
    <row r="325" spans="1:9" x14ac:dyDescent="0.25">
      <c r="A325" s="2">
        <v>26</v>
      </c>
      <c r="B325" t="str">
        <f>VLOOKUP(A325,'Informe 2025'!$1:$1048576,2,FALSE)</f>
        <v>ABRIL</v>
      </c>
      <c r="C325" t="s">
        <v>336</v>
      </c>
      <c r="D325" s="20" t="str">
        <f>VLOOKUP(C325,ID!$1:$1048576,4,FALSE)</f>
        <v>102539</v>
      </c>
      <c r="E325" s="20" t="str">
        <f>VLOOKUP(C325,ID!$1:$1048576,3,FALSE)</f>
        <v xml:space="preserve"> CHRISTY</v>
      </c>
      <c r="F325" s="20" t="str">
        <f>VLOOKUP(C325,ID!$1:$1048576,2,FALSE)</f>
        <v>ELIZALDE TORRES</v>
      </c>
      <c r="G325" s="2" t="str">
        <f>VLOOKUP(D325,CORREOS!$A$2:$B$570,2,FALSE)</f>
        <v>CELIZALDE@ANTAYHOTELES.CL</v>
      </c>
      <c r="H325" s="24" t="str">
        <f>VLOOKUP(A325,'Informe 2025'!$A$5:$C$164,3,FALSE)</f>
        <v>Capacitacion maquinaria de Cocina</v>
      </c>
      <c r="I325">
        <f>VLOOKUP(H325,'Informe 2025'!$C$6:$M$166,11,FALSE)</f>
        <v>6</v>
      </c>
    </row>
    <row r="326" spans="1:9" x14ac:dyDescent="0.25">
      <c r="A326" s="2">
        <v>26</v>
      </c>
      <c r="B326" t="str">
        <f>VLOOKUP(A326,'Informe 2025'!$1:$1048576,2,FALSE)</f>
        <v>ABRIL</v>
      </c>
      <c r="C326" t="s">
        <v>318</v>
      </c>
      <c r="D326" s="20" t="str">
        <f>VLOOKUP(C326,ID!$1:$1048576,4,FALSE)</f>
        <v>102675</v>
      </c>
      <c r="E326" s="20" t="str">
        <f>VLOOKUP(C326,ID!$1:$1048576,3,FALSE)</f>
        <v xml:space="preserve"> CYNTHIA</v>
      </c>
      <c r="F326" s="20" t="str">
        <f>VLOOKUP(C326,ID!$1:$1048576,2,FALSE)</f>
        <v>CONTRERAS SOLA</v>
      </c>
      <c r="G326" s="2" t="str">
        <f>VLOOKUP(D326,CORREOS!$A$2:$B$570,2,FALSE)</f>
        <v>CCONTRERAS@ANTAYHOTELES.CL</v>
      </c>
      <c r="H326" s="24" t="str">
        <f>VLOOKUP(A326,'Informe 2025'!$A$5:$C$164,3,FALSE)</f>
        <v>Capacitacion maquinaria de Cocina</v>
      </c>
      <c r="I326">
        <f>VLOOKUP(H326,'Informe 2025'!$C$6:$M$166,11,FALSE)</f>
        <v>6</v>
      </c>
    </row>
    <row r="327" spans="1:9" x14ac:dyDescent="0.25">
      <c r="A327" s="2">
        <v>26</v>
      </c>
      <c r="B327" t="str">
        <f>VLOOKUP(A327,'Informe 2025'!$1:$1048576,2,FALSE)</f>
        <v>ABRIL</v>
      </c>
      <c r="C327" t="s">
        <v>319</v>
      </c>
      <c r="D327" s="20" t="str">
        <f>VLOOKUP(C327,ID!$1:$1048576,4,FALSE)</f>
        <v>103086</v>
      </c>
      <c r="E327" s="20" t="str">
        <f>VLOOKUP(C327,ID!$1:$1048576,3,FALSE)</f>
        <v xml:space="preserve"> PABLO ABRAHAM</v>
      </c>
      <c r="F327" s="20" t="str">
        <f>VLOOKUP(C327,ID!$1:$1048576,2,FALSE)</f>
        <v>CONTRERAS VARGAS</v>
      </c>
      <c r="G327" s="2" t="str">
        <f>VLOOKUP(D327,CORREOS!$A$2:$B$570,2,FALSE)</f>
        <v>PCVARGAS@ANTAYHOTELES.CL</v>
      </c>
      <c r="H327" s="24" t="str">
        <f>VLOOKUP(A327,'Informe 2025'!$A$5:$C$164,3,FALSE)</f>
        <v>Capacitacion maquinaria de Cocina</v>
      </c>
      <c r="I327">
        <f>VLOOKUP(H327,'Informe 2025'!$C$6:$M$166,11,FALSE)</f>
        <v>6</v>
      </c>
    </row>
    <row r="328" spans="1:9" x14ac:dyDescent="0.25">
      <c r="A328" s="2">
        <v>27</v>
      </c>
      <c r="B328" t="str">
        <f>VLOOKUP(A328,'Informe 2025'!$1:$1048576,2,FALSE)</f>
        <v>MAYO</v>
      </c>
      <c r="C328" t="s">
        <v>479</v>
      </c>
      <c r="D328" s="20" t="str">
        <f>VLOOKUP(C328,ID!$1:$1048576,4,FALSE)</f>
        <v>102803</v>
      </c>
      <c r="E328" s="20" t="str">
        <f>VLOOKUP(C328,ID!$1:$1048576,3,FALSE)</f>
        <v xml:space="preserve"> CATALINA JYO</v>
      </c>
      <c r="F328" s="20" t="str">
        <f>VLOOKUP(C328,ID!$1:$1048576,2,FALSE)</f>
        <v>RIQUELME LOPEZ</v>
      </c>
      <c r="G328" s="2" t="str">
        <f>VLOOKUP(D328,CORREOS!$A$2:$B$570,2,FALSE)</f>
        <v>CRIQUELMEL@CL.LUCKIA.COM</v>
      </c>
      <c r="H328" s="24" t="str">
        <f>VLOOKUP(A328,'Informe 2025'!$A$5:$C$164,3,FALSE)</f>
        <v>Charla concientización sobre la discapacidad</v>
      </c>
      <c r="I328">
        <f>VLOOKUP(H328,'Informe 2025'!$C$6:$M$166,11,FALSE)</f>
        <v>2</v>
      </c>
    </row>
    <row r="329" spans="1:9" x14ac:dyDescent="0.25">
      <c r="A329" s="2">
        <v>27</v>
      </c>
      <c r="B329" t="str">
        <f>VLOOKUP(A329,'Informe 2025'!$1:$1048576,2,FALSE)</f>
        <v>MAYO</v>
      </c>
      <c r="C329" t="s">
        <v>1911</v>
      </c>
      <c r="D329" s="20" t="str">
        <f>VLOOKUP(C329,ID!$1:$1048576,4,FALSE)</f>
        <v>103053</v>
      </c>
      <c r="E329" s="20" t="str">
        <f>VLOOKUP(C329,ID!$1:$1048576,3,FALSE)</f>
        <v xml:space="preserve"> VALENTINA</v>
      </c>
      <c r="F329" s="20" t="str">
        <f>VLOOKUP(C329,ID!$1:$1048576,2,FALSE)</f>
        <v>AGUILAR FERNANDEZ</v>
      </c>
      <c r="G329" s="2" t="str">
        <f>VLOOKUP(D329,CORREOS!$A$2:$B$570,2,FALSE)</f>
        <v>VAFERNANDEZ@CL.LUCKIA.COM</v>
      </c>
      <c r="H329" s="24" t="str">
        <f>VLOOKUP(A329,'Informe 2025'!$A$5:$C$164,3,FALSE)</f>
        <v>Charla concientización sobre la discapacidad</v>
      </c>
      <c r="I329">
        <f>VLOOKUP(H329,'Informe 2025'!$C$6:$M$166,11,FALSE)</f>
        <v>2</v>
      </c>
    </row>
    <row r="330" spans="1:9" x14ac:dyDescent="0.25">
      <c r="A330" s="2">
        <v>27</v>
      </c>
      <c r="B330" t="str">
        <f>VLOOKUP(A330,'Informe 2025'!$1:$1048576,2,FALSE)</f>
        <v>MAYO</v>
      </c>
      <c r="C330" t="s">
        <v>497</v>
      </c>
      <c r="D330" s="20" t="str">
        <f>VLOOKUP(C330,ID!$1:$1048576,4,FALSE)</f>
        <v>101379</v>
      </c>
      <c r="E330" s="20" t="str">
        <f>VLOOKUP(C330,ID!$1:$1048576,3,FALSE)</f>
        <v xml:space="preserve"> FABRIZZIO ANIBAL DUVAN</v>
      </c>
      <c r="F330" s="20" t="str">
        <f>VLOOKUP(C330,ID!$1:$1048576,2,FALSE)</f>
        <v>SALDAÑO CHAMORRO</v>
      </c>
      <c r="G330" s="2" t="str">
        <f>VLOOKUP(D330,CORREOS!$A$2:$B$570,2,FALSE)</f>
        <v>FABRIZZIOANIBALDUVAN.SALDANO@CL.LUCKIA.COM</v>
      </c>
      <c r="H330" s="24" t="str">
        <f>VLOOKUP(A330,'Informe 2025'!$A$5:$C$164,3,FALSE)</f>
        <v>Charla concientización sobre la discapacidad</v>
      </c>
      <c r="I330">
        <f>VLOOKUP(H330,'Informe 2025'!$C$6:$M$166,11,FALSE)</f>
        <v>2</v>
      </c>
    </row>
    <row r="331" spans="1:9" x14ac:dyDescent="0.25">
      <c r="A331" s="2">
        <v>27</v>
      </c>
      <c r="B331" t="str">
        <f>VLOOKUP(A331,'Informe 2025'!$1:$1048576,2,FALSE)</f>
        <v>MAYO</v>
      </c>
      <c r="C331" t="s">
        <v>517</v>
      </c>
      <c r="D331" s="20" t="str">
        <f>VLOOKUP(C331,ID!$1:$1048576,4,FALSE)</f>
        <v>102350</v>
      </c>
      <c r="E331" s="20" t="str">
        <f>VLOOKUP(C331,ID!$1:$1048576,3,FALSE)</f>
        <v xml:space="preserve"> NICOLE ANDREA</v>
      </c>
      <c r="F331" s="20" t="str">
        <f>VLOOKUP(C331,ID!$1:$1048576,2,FALSE)</f>
        <v>URRUTIA ACUÑA</v>
      </c>
      <c r="G331" s="2" t="str">
        <f>VLOOKUP(D331,CORREOS!$A$2:$B$570,2,FALSE)</f>
        <v>NURRUTIA@ANTAYHOTELES.CL</v>
      </c>
      <c r="H331" s="24" t="str">
        <f>VLOOKUP(A331,'Informe 2025'!$A$5:$C$164,3,FALSE)</f>
        <v>Charla concientización sobre la discapacidad</v>
      </c>
      <c r="I331">
        <f>VLOOKUP(H331,'Informe 2025'!$C$6:$M$166,11,FALSE)</f>
        <v>2</v>
      </c>
    </row>
    <row r="332" spans="1:9" x14ac:dyDescent="0.25">
      <c r="A332" s="2">
        <v>27</v>
      </c>
      <c r="B332" t="str">
        <f>VLOOKUP(A332,'Informe 2025'!$1:$1048576,2,FALSE)</f>
        <v>MAYO</v>
      </c>
      <c r="C332" t="s">
        <v>1881</v>
      </c>
      <c r="D332" s="20" t="str">
        <f>VLOOKUP(C332,ID!$1:$1048576,4,FALSE)</f>
        <v>102191</v>
      </c>
      <c r="E332" s="20" t="str">
        <f>VLOOKUP(C332,ID!$1:$1048576,3,FALSE)</f>
        <v xml:space="preserve"> NICOLE STEPHANIE</v>
      </c>
      <c r="F332" s="20" t="str">
        <f>VLOOKUP(C332,ID!$1:$1048576,2,FALSE)</f>
        <v>CALDERON LAZO</v>
      </c>
      <c r="G332" s="2" t="str">
        <f>VLOOKUP(D332,CORREOS!$A$2:$B$570,2,FALSE)</f>
        <v>NCALDERON@CL.LUCKIA.COM</v>
      </c>
      <c r="H332" s="24" t="str">
        <f>VLOOKUP(A332,'Informe 2025'!$A$5:$C$164,3,FALSE)</f>
        <v>Charla concientización sobre la discapacidad</v>
      </c>
      <c r="I332">
        <f>VLOOKUP(H332,'Informe 2025'!$C$6:$M$166,11,FALSE)</f>
        <v>2</v>
      </c>
    </row>
    <row r="333" spans="1:9" x14ac:dyDescent="0.25">
      <c r="A333" s="2">
        <v>27</v>
      </c>
      <c r="B333" t="str">
        <f>VLOOKUP(A333,'Informe 2025'!$1:$1048576,2,FALSE)</f>
        <v>MAYO</v>
      </c>
      <c r="C333" t="s">
        <v>322</v>
      </c>
      <c r="D333" s="20" t="str">
        <f>VLOOKUP(C333,ID!$1:$1048576,4,FALSE)</f>
        <v>101506</v>
      </c>
      <c r="E333" s="20" t="str">
        <f>VLOOKUP(C333,ID!$1:$1048576,3,FALSE)</f>
        <v xml:space="preserve"> PAOLA MAGDALENA</v>
      </c>
      <c r="F333" s="20" t="str">
        <f>VLOOKUP(C333,ID!$1:$1048576,2,FALSE)</f>
        <v>CORTES CORTES</v>
      </c>
      <c r="G333" s="2" t="str">
        <f>VLOOKUP(D333,CORREOS!$A$2:$B$570,2,FALSE)</f>
        <v>PAOLA.CORTES@CL.LUCKIA.COM</v>
      </c>
      <c r="H333" s="24" t="str">
        <f>VLOOKUP(A333,'Informe 2025'!$A$5:$C$164,3,FALSE)</f>
        <v>Charla concientización sobre la discapacidad</v>
      </c>
      <c r="I333">
        <f>VLOOKUP(H333,'Informe 2025'!$C$6:$M$166,11,FALSE)</f>
        <v>2</v>
      </c>
    </row>
    <row r="334" spans="1:9" x14ac:dyDescent="0.25">
      <c r="A334" s="2">
        <v>27</v>
      </c>
      <c r="B334" t="str">
        <f>VLOOKUP(A334,'Informe 2025'!$1:$1048576,2,FALSE)</f>
        <v>MAYO</v>
      </c>
      <c r="C334" t="s">
        <v>349</v>
      </c>
      <c r="D334" s="20" t="str">
        <f>VLOOKUP(C334,ID!$1:$1048576,4,FALSE)</f>
        <v>101666</v>
      </c>
      <c r="E334" s="20" t="str">
        <f>VLOOKUP(C334,ID!$1:$1048576,3,FALSE)</f>
        <v xml:space="preserve"> VAITIARE FERNANDA</v>
      </c>
      <c r="F334" s="20" t="str">
        <f>VLOOKUP(C334,ID!$1:$1048576,2,FALSE)</f>
        <v>FUENTES BORQUEZ</v>
      </c>
      <c r="G334" s="2" t="str">
        <f>VLOOKUP(D334,CORREOS!$A$2:$B$570,2,FALSE)</f>
        <v>VAITIAREFERNANDA.FUENTES@CL.LUCKIA.COM</v>
      </c>
      <c r="H334" s="24" t="str">
        <f>VLOOKUP(A334,'Informe 2025'!$A$5:$C$164,3,FALSE)</f>
        <v>Charla concientización sobre la discapacidad</v>
      </c>
      <c r="I334">
        <f>VLOOKUP(H334,'Informe 2025'!$C$6:$M$166,11,FALSE)</f>
        <v>2</v>
      </c>
    </row>
    <row r="335" spans="1:9" x14ac:dyDescent="0.25">
      <c r="A335" s="2">
        <v>27</v>
      </c>
      <c r="B335" t="str">
        <f>VLOOKUP(A335,'Informe 2025'!$1:$1048576,2,FALSE)</f>
        <v>MAYO</v>
      </c>
      <c r="C335" t="s">
        <v>351</v>
      </c>
      <c r="D335" s="20" t="str">
        <f>VLOOKUP(C335,ID!$1:$1048576,4,FALSE)</f>
        <v>103260</v>
      </c>
      <c r="E335" s="20" t="str">
        <f>VLOOKUP(C335,ID!$1:$1048576,3,FALSE)</f>
        <v xml:space="preserve"> JUAN MANUEL</v>
      </c>
      <c r="F335" s="20" t="str">
        <f>VLOOKUP(C335,ID!$1:$1048576,2,FALSE)</f>
        <v>GALLARDO MARIN</v>
      </c>
      <c r="G335" s="2" t="str">
        <f>VLOOKUP(D335,CORREOS!$A$2:$B$570,2,FALSE)</f>
        <v>JGMARIN@CL.LUCKIA.COM</v>
      </c>
      <c r="H335" s="24" t="str">
        <f>VLOOKUP(A335,'Informe 2025'!$A$5:$C$164,3,FALSE)</f>
        <v>Charla concientización sobre la discapacidad</v>
      </c>
      <c r="I335">
        <f>VLOOKUP(H335,'Informe 2025'!$C$6:$M$166,11,FALSE)</f>
        <v>2</v>
      </c>
    </row>
    <row r="336" spans="1:9" x14ac:dyDescent="0.25">
      <c r="A336" s="2">
        <v>27</v>
      </c>
      <c r="B336" t="str">
        <f>VLOOKUP(A336,'Informe 2025'!$1:$1048576,2,FALSE)</f>
        <v>MAYO</v>
      </c>
      <c r="C336" t="s">
        <v>437</v>
      </c>
      <c r="D336" s="20" t="str">
        <f>VLOOKUP(C336,ID!$1:$1048576,4,FALSE)</f>
        <v>102382</v>
      </c>
      <c r="E336" s="20" t="str">
        <f>VLOOKUP(C336,ID!$1:$1048576,3,FALSE)</f>
        <v xml:space="preserve"> NATALIA ISABEL</v>
      </c>
      <c r="F336" s="20" t="str">
        <f>VLOOKUP(C336,ID!$1:$1048576,2,FALSE)</f>
        <v>NOVOA AGUILERA</v>
      </c>
      <c r="G336" s="2" t="str">
        <f>VLOOKUP(D336,CORREOS!$A$2:$B$570,2,FALSE)</f>
        <v>NNOVOA@ANTAYHOTELES.CL</v>
      </c>
      <c r="H336" s="24" t="str">
        <f>VLOOKUP(A336,'Informe 2025'!$A$5:$C$164,3,FALSE)</f>
        <v>Charla concientización sobre la discapacidad</v>
      </c>
      <c r="I336">
        <f>VLOOKUP(H336,'Informe 2025'!$C$6:$M$166,11,FALSE)</f>
        <v>2</v>
      </c>
    </row>
    <row r="337" spans="1:9" x14ac:dyDescent="0.25">
      <c r="A337" s="2">
        <v>27</v>
      </c>
      <c r="B337" t="str">
        <f>VLOOKUP(A337,'Informe 2025'!$1:$1048576,2,FALSE)</f>
        <v>MAYO</v>
      </c>
      <c r="C337" t="s">
        <v>262</v>
      </c>
      <c r="D337" s="20" t="str">
        <f>VLOOKUP(C337,ID!$1:$1048576,4,FALSE)</f>
        <v>101555</v>
      </c>
      <c r="E337" s="20" t="str">
        <f>VLOOKUP(C337,ID!$1:$1048576,3,FALSE)</f>
        <v xml:space="preserve"> VICTORIA MACARENA</v>
      </c>
      <c r="F337" s="20" t="str">
        <f>VLOOKUP(C337,ID!$1:$1048576,2,FALSE)</f>
        <v>ARANIBAR BRIONES</v>
      </c>
      <c r="G337" s="2" t="str">
        <f>VLOOKUP(D337,CORREOS!$A$2:$B$570,2,FALSE)</f>
        <v>VICTORIAMACARENA.ARANIBAR@CL.LUCKIA.COM</v>
      </c>
      <c r="H337" s="24" t="str">
        <f>VLOOKUP(A337,'Informe 2025'!$A$5:$C$164,3,FALSE)</f>
        <v>Charla concientización sobre la discapacidad</v>
      </c>
      <c r="I337">
        <f>VLOOKUP(H337,'Informe 2025'!$C$6:$M$166,11,FALSE)</f>
        <v>2</v>
      </c>
    </row>
    <row r="338" spans="1:9" x14ac:dyDescent="0.25">
      <c r="A338" s="2">
        <v>27</v>
      </c>
      <c r="B338" t="str">
        <f>VLOOKUP(A338,'Informe 2025'!$1:$1048576,2,FALSE)</f>
        <v>MAYO</v>
      </c>
      <c r="C338" t="s">
        <v>454</v>
      </c>
      <c r="D338" s="20" t="str">
        <f>VLOOKUP(C338,ID!$1:$1048576,4,FALSE)</f>
        <v>101586</v>
      </c>
      <c r="E338" s="20" t="str">
        <f>VLOOKUP(C338,ID!$1:$1048576,3,FALSE)</f>
        <v xml:space="preserve"> FERNANDO ALFREDO</v>
      </c>
      <c r="F338" s="20" t="str">
        <f>VLOOKUP(C338,ID!$1:$1048576,2,FALSE)</f>
        <v>PASTEN ROJAS</v>
      </c>
      <c r="G338" s="2" t="str">
        <f>VLOOKUP(D338,CORREOS!$A$2:$B$570,2,FALSE)</f>
        <v>FERNANDOALFREDO.PASTEN@ANTAYHOTELES.CL</v>
      </c>
      <c r="H338" s="24" t="str">
        <f>VLOOKUP(A338,'Informe 2025'!$A$5:$C$164,3,FALSE)</f>
        <v>Charla concientización sobre la discapacidad</v>
      </c>
      <c r="I338">
        <f>VLOOKUP(H338,'Informe 2025'!$C$6:$M$166,11,FALSE)</f>
        <v>2</v>
      </c>
    </row>
    <row r="339" spans="1:9" x14ac:dyDescent="0.25">
      <c r="A339" s="2">
        <v>27</v>
      </c>
      <c r="B339" t="str">
        <f>VLOOKUP(A339,'Informe 2025'!$1:$1048576,2,FALSE)</f>
        <v>MAYO</v>
      </c>
      <c r="C339" t="s">
        <v>386</v>
      </c>
      <c r="D339" s="20" t="str">
        <f>VLOOKUP(C339,ID!$1:$1048576,4,FALSE)</f>
        <v>101375</v>
      </c>
      <c r="E339" s="20" t="str">
        <f>VLOOKUP(C339,ID!$1:$1048576,3,FALSE)</f>
        <v xml:space="preserve"> ALLIZON DANIELA</v>
      </c>
      <c r="F339" s="20" t="str">
        <f>VLOOKUP(C339,ID!$1:$1048576,2,FALSE)</f>
        <v>HUERTA VASQUEZ</v>
      </c>
      <c r="G339" s="2" t="str">
        <f>VLOOKUP(D339,CORREOS!$A$2:$B$570,2,FALSE)</f>
        <v>DHUERTA@CL.LUCKIA.COM</v>
      </c>
      <c r="H339" s="24" t="str">
        <f>VLOOKUP(A339,'Informe 2025'!$A$5:$C$164,3,FALSE)</f>
        <v>Charla concientización sobre la discapacidad</v>
      </c>
      <c r="I339">
        <f>VLOOKUP(H339,'Informe 2025'!$C$6:$M$166,11,FALSE)</f>
        <v>2</v>
      </c>
    </row>
    <row r="340" spans="1:9" x14ac:dyDescent="0.25">
      <c r="A340" s="2">
        <v>27</v>
      </c>
      <c r="B340" t="str">
        <f>VLOOKUP(A340,'Informe 2025'!$1:$1048576,2,FALSE)</f>
        <v>MAYO</v>
      </c>
      <c r="C340" t="s">
        <v>460</v>
      </c>
      <c r="D340" s="20" t="str">
        <f>VLOOKUP(C340,ID!$1:$1048576,4,FALSE)</f>
        <v>101402</v>
      </c>
      <c r="E340" s="20" t="str">
        <f>VLOOKUP(C340,ID!$1:$1048576,3,FALSE)</f>
        <v xml:space="preserve"> ALVARO ANTONIO</v>
      </c>
      <c r="F340" s="20" t="str">
        <f>VLOOKUP(C340,ID!$1:$1048576,2,FALSE)</f>
        <v>PEREZ SALAZAR</v>
      </c>
      <c r="G340" s="2" t="str">
        <f>VLOOKUP(D340,CORREOS!$A$2:$B$570,2,FALSE)</f>
        <v>ALVAROANTONIO.PEREZ@CL.LUCKIA.COM</v>
      </c>
      <c r="H340" s="24" t="str">
        <f>VLOOKUP(A340,'Informe 2025'!$A$5:$C$164,3,FALSE)</f>
        <v>Charla concientización sobre la discapacidad</v>
      </c>
      <c r="I340">
        <f>VLOOKUP(H340,'Informe 2025'!$C$6:$M$166,11,FALSE)</f>
        <v>2</v>
      </c>
    </row>
    <row r="341" spans="1:9" x14ac:dyDescent="0.25">
      <c r="A341" s="2">
        <v>27</v>
      </c>
      <c r="B341" t="str">
        <f>VLOOKUP(A341,'Informe 2025'!$1:$1048576,2,FALSE)</f>
        <v>MAYO</v>
      </c>
      <c r="C341" t="s">
        <v>371</v>
      </c>
      <c r="D341" s="20" t="str">
        <f>VLOOKUP(C341,ID!$1:$1048576,4,FALSE)</f>
        <v>101456</v>
      </c>
      <c r="E341" s="20" t="str">
        <f>VLOOKUP(C341,ID!$1:$1048576,3,FALSE)</f>
        <v xml:space="preserve"> MARIA JOSE</v>
      </c>
      <c r="F341" s="20" t="str">
        <f>VLOOKUP(C341,ID!$1:$1048576,2,FALSE)</f>
        <v>GONZALEZ MEDINA</v>
      </c>
      <c r="G341" s="2" t="str">
        <f>VLOOKUP(D341,CORREOS!$A$2:$B$570,2,FALSE)</f>
        <v>MGMEDINA@CL.LUCKIA.COM</v>
      </c>
      <c r="H341" s="24" t="str">
        <f>VLOOKUP(A341,'Informe 2025'!$A$5:$C$164,3,FALSE)</f>
        <v>Charla concientización sobre la discapacidad</v>
      </c>
      <c r="I341">
        <f>VLOOKUP(H341,'Informe 2025'!$C$6:$M$166,11,FALSE)</f>
        <v>2</v>
      </c>
    </row>
    <row r="342" spans="1:9" x14ac:dyDescent="0.25">
      <c r="A342" s="2">
        <v>27</v>
      </c>
      <c r="B342" t="str">
        <f>VLOOKUP(A342,'Informe 2025'!$1:$1048576,2,FALSE)</f>
        <v>MAYO</v>
      </c>
      <c r="C342" t="s">
        <v>407</v>
      </c>
      <c r="D342" s="20" t="str">
        <f>VLOOKUP(C342,ID!$1:$1048576,4,FALSE)</f>
        <v>101826</v>
      </c>
      <c r="E342" s="20" t="str">
        <f>VLOOKUP(C342,ID!$1:$1048576,3,FALSE)</f>
        <v xml:space="preserve"> NARELA ALIZON JUDYT</v>
      </c>
      <c r="F342" s="20" t="str">
        <f>VLOOKUP(C342,ID!$1:$1048576,2,FALSE)</f>
        <v>MARINO ALARO</v>
      </c>
      <c r="G342" s="2" t="str">
        <f>VLOOKUP(D342,CORREOS!$A$2:$B$570,2,FALSE)</f>
        <v>NMARINO@CL.LUCKIA.COM</v>
      </c>
      <c r="H342" s="24" t="str">
        <f>VLOOKUP(A342,'Informe 2025'!$A$5:$C$164,3,FALSE)</f>
        <v>Charla concientización sobre la discapacidad</v>
      </c>
      <c r="I342">
        <f>VLOOKUP(H342,'Informe 2025'!$C$6:$M$166,11,FALSE)</f>
        <v>2</v>
      </c>
    </row>
    <row r="343" spans="1:9" x14ac:dyDescent="0.25">
      <c r="A343" s="2">
        <v>27</v>
      </c>
      <c r="B343" t="str">
        <f>VLOOKUP(A343,'Informe 2025'!$1:$1048576,2,FALSE)</f>
        <v>MAYO</v>
      </c>
      <c r="C343" t="s">
        <v>498</v>
      </c>
      <c r="D343" s="20" t="str">
        <f>VLOOKUP(C343,ID!$1:$1048576,4,FALSE)</f>
        <v>101825</v>
      </c>
      <c r="E343" s="20" t="str">
        <f>VLOOKUP(C343,ID!$1:$1048576,3,FALSE)</f>
        <v xml:space="preserve"> GISSELA ANDREA</v>
      </c>
      <c r="F343" s="20" t="str">
        <f>VLOOKUP(C343,ID!$1:$1048576,2,FALSE)</f>
        <v>SANCHEZ QUISPE</v>
      </c>
      <c r="G343" s="2" t="str">
        <f>VLOOKUP(D343,CORREOS!$A$2:$B$570,2,FALSE)</f>
        <v>GSQUISPE@CL.LUCKIA.COM</v>
      </c>
      <c r="H343" s="24" t="str">
        <f>VLOOKUP(A343,'Informe 2025'!$A$5:$C$164,3,FALSE)</f>
        <v>Charla concientización sobre la discapacidad</v>
      </c>
      <c r="I343">
        <f>VLOOKUP(H343,'Informe 2025'!$C$6:$M$166,11,FALSE)</f>
        <v>2</v>
      </c>
    </row>
    <row r="344" spans="1:9" x14ac:dyDescent="0.25">
      <c r="A344" s="2">
        <v>27</v>
      </c>
      <c r="B344" t="str">
        <f>VLOOKUP(A344,'Informe 2025'!$1:$1048576,2,FALSE)</f>
        <v>MAYO</v>
      </c>
      <c r="C344" t="s">
        <v>331</v>
      </c>
      <c r="D344" s="20" t="str">
        <f>VLOOKUP(C344,ID!$1:$1048576,4,FALSE)</f>
        <v>102895</v>
      </c>
      <c r="E344" s="20" t="str">
        <f>VLOOKUP(C344,ID!$1:$1048576,3,FALSE)</f>
        <v xml:space="preserve"> LILIAN ALEXANDRA</v>
      </c>
      <c r="F344" s="20" t="str">
        <f>VLOOKUP(C344,ID!$1:$1048576,2,FALSE)</f>
        <v>DELZO ALTAMIRANO</v>
      </c>
      <c r="G344" s="2" t="str">
        <f>VLOOKUP(D344,CORREOS!$A$2:$B$570,2,FALSE)</f>
        <v>LDELZO@CL.LUCKIA.COM</v>
      </c>
      <c r="H344" s="24" t="str">
        <f>VLOOKUP(A344,'Informe 2025'!$A$5:$C$164,3,FALSE)</f>
        <v>Charla concientización sobre la discapacidad</v>
      </c>
      <c r="I344">
        <f>VLOOKUP(H344,'Informe 2025'!$C$6:$M$166,11,FALSE)</f>
        <v>2</v>
      </c>
    </row>
    <row r="345" spans="1:9" x14ac:dyDescent="0.25">
      <c r="A345" s="2">
        <v>27</v>
      </c>
      <c r="B345" t="str">
        <f>VLOOKUP(A345,'Informe 2025'!$1:$1048576,2,FALSE)</f>
        <v>MAYO</v>
      </c>
      <c r="C345" t="s">
        <v>274</v>
      </c>
      <c r="D345" s="20" t="str">
        <f>VLOOKUP(C345,ID!$1:$1048576,4,FALSE)</f>
        <v>103084</v>
      </c>
      <c r="E345" s="20" t="str">
        <f>VLOOKUP(C345,ID!$1:$1048576,3,FALSE)</f>
        <v xml:space="preserve"> BASTIAN ANDRES</v>
      </c>
      <c r="F345" s="20" t="str">
        <f>VLOOKUP(C345,ID!$1:$1048576,2,FALSE)</f>
        <v>ARRIAGADA PALTA</v>
      </c>
      <c r="G345" s="2" t="str">
        <f>VLOOKUP(D345,CORREOS!$A$2:$B$570,2,FALSE)</f>
        <v>BARRIAGADA@ANTAYHOTELES.CL</v>
      </c>
      <c r="H345" s="24" t="str">
        <f>VLOOKUP(A345,'Informe 2025'!$A$5:$C$164,3,FALSE)</f>
        <v>Charla concientización sobre la discapacidad</v>
      </c>
      <c r="I345">
        <f>VLOOKUP(H345,'Informe 2025'!$C$6:$M$166,11,FALSE)</f>
        <v>2</v>
      </c>
    </row>
    <row r="346" spans="1:9" x14ac:dyDescent="0.25">
      <c r="A346" s="2">
        <v>27</v>
      </c>
      <c r="B346" t="str">
        <f>VLOOKUP(A346,'Informe 2025'!$1:$1048576,2,FALSE)</f>
        <v>MAYO</v>
      </c>
      <c r="C346" t="s">
        <v>314</v>
      </c>
      <c r="D346" s="20" t="str">
        <f>VLOOKUP(C346,ID!$1:$1048576,4,FALSE)</f>
        <v>102849</v>
      </c>
      <c r="E346" s="20" t="str">
        <f>VLOOKUP(C346,ID!$1:$1048576,3,FALSE)</f>
        <v xml:space="preserve"> CRISTOBAL HUMBERTO</v>
      </c>
      <c r="F346" s="20" t="str">
        <f>VLOOKUP(C346,ID!$1:$1048576,2,FALSE)</f>
        <v>CONDORI CARVAJAL</v>
      </c>
      <c r="G346" s="2" t="str">
        <f>VLOOKUP(D346,CORREOS!$A$2:$B$570,2,FALSE)</f>
        <v>CCONDORI@ANTAYHOTELES.CL</v>
      </c>
      <c r="H346" s="24" t="str">
        <f>VLOOKUP(A346,'Informe 2025'!$A$5:$C$164,3,FALSE)</f>
        <v>Charla concientización sobre la discapacidad</v>
      </c>
      <c r="I346">
        <f>VLOOKUP(H346,'Informe 2025'!$C$6:$M$166,11,FALSE)</f>
        <v>2</v>
      </c>
    </row>
    <row r="347" spans="1:9" x14ac:dyDescent="0.25">
      <c r="A347" s="2">
        <v>27</v>
      </c>
      <c r="B347" t="str">
        <f>VLOOKUP(A347,'Informe 2025'!$1:$1048576,2,FALSE)</f>
        <v>MAYO</v>
      </c>
      <c r="C347" t="s">
        <v>339</v>
      </c>
      <c r="D347" s="20" t="str">
        <f>VLOOKUP(C347,ID!$1:$1048576,4,FALSE)</f>
        <v>101938</v>
      </c>
      <c r="E347" s="20" t="str">
        <f>VLOOKUP(C347,ID!$1:$1048576,3,FALSE)</f>
        <v xml:space="preserve"> LORETO ANDREA</v>
      </c>
      <c r="F347" s="20" t="str">
        <f>VLOOKUP(C347,ID!$1:$1048576,2,FALSE)</f>
        <v>FERNANDEZ GONZALEZ</v>
      </c>
      <c r="G347" s="2" t="str">
        <f>VLOOKUP(D347,CORREOS!$A$2:$B$570,2,FALSE)</f>
        <v>LFGONZALEZ@CL.LUCKIA.COM</v>
      </c>
      <c r="H347" s="24" t="str">
        <f>VLOOKUP(A347,'Informe 2025'!$A$5:$C$164,3,FALSE)</f>
        <v>Charla concientización sobre la discapacidad</v>
      </c>
      <c r="I347">
        <f>VLOOKUP(H347,'Informe 2025'!$C$6:$M$166,11,FALSE)</f>
        <v>2</v>
      </c>
    </row>
    <row r="348" spans="1:9" x14ac:dyDescent="0.25">
      <c r="A348" s="2">
        <v>27</v>
      </c>
      <c r="B348" t="str">
        <f>VLOOKUP(A348,'Informe 2025'!$1:$1048576,2,FALSE)</f>
        <v>MAYO</v>
      </c>
      <c r="C348" t="s">
        <v>292</v>
      </c>
      <c r="D348" s="20" t="str">
        <f>VLOOKUP(C348,ID!$1:$1048576,4,FALSE)</f>
        <v>101806</v>
      </c>
      <c r="E348" s="20" t="str">
        <f>VLOOKUP(C348,ID!$1:$1048576,3,FALSE)</f>
        <v xml:space="preserve"> MAURICIO FRANCISCO</v>
      </c>
      <c r="F348" s="20" t="str">
        <f>VLOOKUP(C348,ID!$1:$1048576,2,FALSE)</f>
        <v>CARRASCO FUENTES</v>
      </c>
      <c r="G348" s="2" t="str">
        <f>VLOOKUP(D348,CORREOS!$A$2:$B$570,2,FALSE)</f>
        <v>MCFUENTES@ANTAYHOTELES.CL</v>
      </c>
      <c r="H348" s="24" t="str">
        <f>VLOOKUP(A348,'Informe 2025'!$A$5:$C$164,3,FALSE)</f>
        <v>Charla concientización sobre la discapacidad</v>
      </c>
      <c r="I348">
        <f>VLOOKUP(H348,'Informe 2025'!$C$6:$M$166,11,FALSE)</f>
        <v>2</v>
      </c>
    </row>
    <row r="349" spans="1:9" x14ac:dyDescent="0.25">
      <c r="A349" s="2">
        <v>27</v>
      </c>
      <c r="B349" t="str">
        <f>VLOOKUP(A349,'Informe 2025'!$1:$1048576,2,FALSE)</f>
        <v>MAYO</v>
      </c>
      <c r="C349" t="s">
        <v>395</v>
      </c>
      <c r="D349" s="20" t="str">
        <f>VLOOKUP(C349,ID!$1:$1048576,4,FALSE)</f>
        <v>102063</v>
      </c>
      <c r="E349" s="20" t="str">
        <f>VLOOKUP(C349,ID!$1:$1048576,3,FALSE)</f>
        <v xml:space="preserve"> MICHELLE ANNETTE</v>
      </c>
      <c r="F349" s="20" t="str">
        <f>VLOOKUP(C349,ID!$1:$1048576,2,FALSE)</f>
        <v>LEAL LEYTON</v>
      </c>
      <c r="G349" s="2" t="str">
        <f>VLOOKUP(D349,CORREOS!$A$2:$B$570,2,FALSE)</f>
        <v>MLEAL@CL.LUCKIA.COM</v>
      </c>
      <c r="H349" s="24" t="str">
        <f>VLOOKUP(A349,'Informe 2025'!$A$5:$C$164,3,FALSE)</f>
        <v>Charla concientización sobre la discapacidad</v>
      </c>
      <c r="I349">
        <f>VLOOKUP(H349,'Informe 2025'!$C$6:$M$166,11,FALSE)</f>
        <v>2</v>
      </c>
    </row>
    <row r="350" spans="1:9" x14ac:dyDescent="0.25">
      <c r="A350" s="2">
        <v>27</v>
      </c>
      <c r="B350" t="str">
        <f>VLOOKUP(A350,'Informe 2025'!$1:$1048576,2,FALSE)</f>
        <v>MAYO</v>
      </c>
      <c r="C350" t="s">
        <v>534</v>
      </c>
      <c r="D350" s="20" t="str">
        <f>VLOOKUP(C350,ID!$1:$1048576,4,FALSE)</f>
        <v>102292</v>
      </c>
      <c r="E350" s="20" t="str">
        <f>VLOOKUP(C350,ID!$1:$1048576,3,FALSE)</f>
        <v xml:space="preserve"> ESKARLETT YUBINZA</v>
      </c>
      <c r="F350" s="20" t="str">
        <f>VLOOKUP(C350,ID!$1:$1048576,2,FALSE)</f>
        <v>ZULETA COLQUE</v>
      </c>
      <c r="G350" s="2" t="str">
        <f>VLOOKUP(D350,CORREOS!$A$2:$B$570,2,FALSE)</f>
        <v>EZCOLQUE@CL.LUCKIA.COM</v>
      </c>
      <c r="H350" s="24" t="str">
        <f>VLOOKUP(A350,'Informe 2025'!$A$5:$C$164,3,FALSE)</f>
        <v>Charla concientización sobre la discapacidad</v>
      </c>
      <c r="I350">
        <f>VLOOKUP(H350,'Informe 2025'!$C$6:$M$166,11,FALSE)</f>
        <v>2</v>
      </c>
    </row>
    <row r="351" spans="1:9" x14ac:dyDescent="0.25">
      <c r="A351" s="2">
        <v>28</v>
      </c>
      <c r="B351" t="str">
        <f>VLOOKUP(A351,'Informe 2025'!$1:$1048576,2,FALSE)</f>
        <v>MAYO</v>
      </c>
      <c r="C351" t="s">
        <v>471</v>
      </c>
      <c r="D351" s="20" t="str">
        <f>VLOOKUP(C351,ID!$1:$1048576,4,FALSE)</f>
        <v>101575</v>
      </c>
      <c r="E351" s="20" t="str">
        <f>VLOOKUP(C351,ID!$1:$1048576,3,FALSE)</f>
        <v xml:space="preserve"> PRICILA FERNANDA</v>
      </c>
      <c r="F351" s="20" t="str">
        <f>VLOOKUP(C351,ID!$1:$1048576,2,FALSE)</f>
        <v>RAMIREZ ANDAUR</v>
      </c>
      <c r="G351" s="2" t="str">
        <f>VLOOKUP(D351,CORREOS!$A$2:$B$570,2,FALSE)</f>
        <v>PRICILAFERNANDA.RAMIREZ@ANTAYHOTELES.CL</v>
      </c>
      <c r="H351" s="24" t="str">
        <f>VLOOKUP(A351,'Informe 2025'!$A$5:$C$164,3,FALSE)</f>
        <v>Difusión Politica de Inclusión</v>
      </c>
      <c r="I351">
        <f>VLOOKUP(H351,'Informe 2025'!$C$6:$M$166,11,FALSE)</f>
        <v>1</v>
      </c>
    </row>
    <row r="352" spans="1:9" x14ac:dyDescent="0.25">
      <c r="A352" s="2">
        <v>28</v>
      </c>
      <c r="B352" t="str">
        <f>VLOOKUP(A352,'Informe 2025'!$1:$1048576,2,FALSE)</f>
        <v>MAYO</v>
      </c>
      <c r="C352" t="s">
        <v>488</v>
      </c>
      <c r="D352" s="20" t="str">
        <f>VLOOKUP(C352,ID!$1:$1048576,4,FALSE)</f>
        <v>101691</v>
      </c>
      <c r="E352" s="20" t="str">
        <f>VLOOKUP(C352,ID!$1:$1048576,3,FALSE)</f>
        <v xml:space="preserve"> MARIA JOSE</v>
      </c>
      <c r="F352" s="20" t="str">
        <f>VLOOKUP(C352,ID!$1:$1048576,2,FALSE)</f>
        <v>ROJAS FERNANDEZ</v>
      </c>
      <c r="G352" s="2" t="str">
        <f>VLOOKUP(D352,CORREOS!$A$2:$B$570,2,FALSE)</f>
        <v>MARIAJOSE.ROJAS@ANTAYHOTELES.CL</v>
      </c>
      <c r="H352" s="24" t="str">
        <f>VLOOKUP(A352,'Informe 2025'!$A$5:$C$164,3,FALSE)</f>
        <v>Difusión Politica de Inclusión</v>
      </c>
      <c r="I352">
        <f>VLOOKUP(H352,'Informe 2025'!$C$6:$M$166,11,FALSE)</f>
        <v>1</v>
      </c>
    </row>
    <row r="353" spans="1:9" x14ac:dyDescent="0.25">
      <c r="A353" s="2">
        <v>28</v>
      </c>
      <c r="B353" t="str">
        <f>VLOOKUP(A353,'Informe 2025'!$1:$1048576,2,FALSE)</f>
        <v>MAYO</v>
      </c>
      <c r="C353" t="s">
        <v>237</v>
      </c>
      <c r="D353" s="20" t="str">
        <f>VLOOKUP(C353,ID!$1:$1048576,4,FALSE)</f>
        <v>102935</v>
      </c>
      <c r="E353" s="20" t="str">
        <f>VLOOKUP(C353,ID!$1:$1048576,3,FALSE)</f>
        <v xml:space="preserve"> MITZY FERNANDA</v>
      </c>
      <c r="F353" s="20" t="str">
        <f>VLOOKUP(C353,ID!$1:$1048576,2,FALSE)</f>
        <v>ACUÑA PAEZ</v>
      </c>
      <c r="G353" s="2" t="str">
        <f>VLOOKUP(D353,CORREOS!$A$2:$B$570,2,FALSE)</f>
        <v>MACUNA@ANTAYHOTELES.CL</v>
      </c>
      <c r="H353" s="24" t="str">
        <f>VLOOKUP(A353,'Informe 2025'!$A$5:$C$164,3,FALSE)</f>
        <v>Difusión Politica de Inclusión</v>
      </c>
      <c r="I353">
        <f>VLOOKUP(H353,'Informe 2025'!$C$6:$M$166,11,FALSE)</f>
        <v>1</v>
      </c>
    </row>
    <row r="354" spans="1:9" x14ac:dyDescent="0.25">
      <c r="A354" s="2">
        <v>28</v>
      </c>
      <c r="B354" t="str">
        <f>VLOOKUP(A354,'Informe 2025'!$1:$1048576,2,FALSE)</f>
        <v>MAYO</v>
      </c>
      <c r="C354" t="s">
        <v>1912</v>
      </c>
      <c r="D354" s="20" t="e">
        <f>VLOOKUP(C354,ID!$1:$1048576,4,FALSE)</f>
        <v>#N/A</v>
      </c>
      <c r="E354" s="20" t="e">
        <f>VLOOKUP(C354,ID!$1:$1048576,3,FALSE)</f>
        <v>#N/A</v>
      </c>
      <c r="F354" s="20" t="e">
        <f>VLOOKUP(C354,ID!$1:$1048576,2,FALSE)</f>
        <v>#N/A</v>
      </c>
      <c r="G354" s="2" t="e">
        <f>VLOOKUP(D354,CORREOS!$A$2:$B$570,2,FALSE)</f>
        <v>#N/A</v>
      </c>
      <c r="H354" s="24" t="str">
        <f>VLOOKUP(A354,'Informe 2025'!$A$5:$C$164,3,FALSE)</f>
        <v>Difusión Politica de Inclusión</v>
      </c>
      <c r="I354">
        <f>VLOOKUP(H354,'Informe 2025'!$C$6:$M$166,11,FALSE)</f>
        <v>1</v>
      </c>
    </row>
    <row r="355" spans="1:9" x14ac:dyDescent="0.25">
      <c r="A355" s="2">
        <v>28</v>
      </c>
      <c r="B355" t="str">
        <f>VLOOKUP(A355,'Informe 2025'!$1:$1048576,2,FALSE)</f>
        <v>MAYO</v>
      </c>
      <c r="C355" t="s">
        <v>242</v>
      </c>
      <c r="D355" s="20" t="str">
        <f>VLOOKUP(C355,ID!$1:$1048576,4,FALSE)</f>
        <v>102983</v>
      </c>
      <c r="E355" s="20" t="str">
        <f>VLOOKUP(C355,ID!$1:$1048576,3,FALSE)</f>
        <v xml:space="preserve"> MAITTE CONSTANZA</v>
      </c>
      <c r="F355" s="20" t="str">
        <f>VLOOKUP(C355,ID!$1:$1048576,2,FALSE)</f>
        <v>AGUILERA FUENTEALBA</v>
      </c>
      <c r="G355" s="2" t="str">
        <f>VLOOKUP(D355,CORREOS!$A$2:$B$570,2,FALSE)</f>
        <v>MAFUENTEALBA@ANTAYHOTELES.CL</v>
      </c>
      <c r="H355" s="24" t="str">
        <f>VLOOKUP(A355,'Informe 2025'!$A$5:$C$164,3,FALSE)</f>
        <v>Difusión Politica de Inclusión</v>
      </c>
      <c r="I355">
        <f>VLOOKUP(H355,'Informe 2025'!$C$6:$M$166,11,FALSE)</f>
        <v>1</v>
      </c>
    </row>
    <row r="356" spans="1:9" x14ac:dyDescent="0.25">
      <c r="A356" s="2">
        <v>28</v>
      </c>
      <c r="B356" t="str">
        <f>VLOOKUP(A356,'Informe 2025'!$1:$1048576,2,FALSE)</f>
        <v>MAYO</v>
      </c>
      <c r="C356" t="s">
        <v>421</v>
      </c>
      <c r="D356" s="20" t="str">
        <f>VLOOKUP(C356,ID!$1:$1048576,4,FALSE)</f>
        <v>102677</v>
      </c>
      <c r="E356" s="20" t="str">
        <f>VLOOKUP(C356,ID!$1:$1048576,3,FALSE)</f>
        <v xml:space="preserve"> MARIA</v>
      </c>
      <c r="F356" s="20" t="str">
        <f>VLOOKUP(C356,ID!$1:$1048576,2,FALSE)</f>
        <v>MOLINA MUÑOZ</v>
      </c>
      <c r="G356" s="2" t="str">
        <f>VLOOKUP(D356,CORREOS!$A$2:$B$570,2,FALSE)</f>
        <v>MMMUNOZ@ANTAYHOTELES.CL</v>
      </c>
      <c r="H356" s="24" t="str">
        <f>VLOOKUP(A356,'Informe 2025'!$A$5:$C$164,3,FALSE)</f>
        <v>Difusión Politica de Inclusión</v>
      </c>
      <c r="I356">
        <f>VLOOKUP(H356,'Informe 2025'!$C$6:$M$166,11,FALSE)</f>
        <v>1</v>
      </c>
    </row>
    <row r="357" spans="1:9" x14ac:dyDescent="0.25">
      <c r="A357" s="2">
        <v>28</v>
      </c>
      <c r="B357" t="str">
        <f>VLOOKUP(A357,'Informe 2025'!$1:$1048576,2,FALSE)</f>
        <v>MAYO</v>
      </c>
      <c r="C357" t="s">
        <v>410</v>
      </c>
      <c r="D357" s="20" t="str">
        <f>VLOOKUP(C357,ID!$1:$1048576,4,FALSE)</f>
        <v>100353</v>
      </c>
      <c r="E357" s="20" t="str">
        <f>VLOOKUP(C357,ID!$1:$1048576,3,FALSE)</f>
        <v xml:space="preserve"> FABRICIO VIDAL</v>
      </c>
      <c r="F357" s="20" t="str">
        <f>VLOOKUP(C357,ID!$1:$1048576,2,FALSE)</f>
        <v>MARTINEZ BENAVIDEZ</v>
      </c>
      <c r="G357" s="2" t="str">
        <f>VLOOKUP(D357,CORREOS!$A$2:$B$570,2,FALSE)</f>
        <v>FABRICIO.MARTINEZ@ANTAYHOTELES.CL</v>
      </c>
      <c r="H357" s="24" t="str">
        <f>VLOOKUP(A357,'Informe 2025'!$A$5:$C$164,3,FALSE)</f>
        <v>Difusión Politica de Inclusión</v>
      </c>
      <c r="I357">
        <f>VLOOKUP(H357,'Informe 2025'!$C$6:$M$166,11,FALSE)</f>
        <v>1</v>
      </c>
    </row>
    <row r="358" spans="1:9" x14ac:dyDescent="0.25">
      <c r="A358" s="2">
        <v>28</v>
      </c>
      <c r="B358" t="str">
        <f>VLOOKUP(A358,'Informe 2025'!$1:$1048576,2,FALSE)</f>
        <v>MAYO</v>
      </c>
      <c r="C358" t="s">
        <v>455</v>
      </c>
      <c r="D358" s="20" t="str">
        <f>VLOOKUP(C358,ID!$1:$1048576,4,FALSE)</f>
        <v>101809</v>
      </c>
      <c r="E358" s="20" t="str">
        <f>VLOOKUP(C358,ID!$1:$1048576,3,FALSE)</f>
        <v xml:space="preserve"> ARIEL RODRIGO</v>
      </c>
      <c r="F358" s="20" t="str">
        <f>VLOOKUP(C358,ID!$1:$1048576,2,FALSE)</f>
        <v>PERALTA CASTILLO</v>
      </c>
      <c r="G358" s="2" t="str">
        <f>VLOOKUP(D358,CORREOS!$A$2:$B$570,2,FALSE)</f>
        <v>APERALTA@CL.LUCKIA.COM</v>
      </c>
      <c r="H358" s="24" t="str">
        <f>VLOOKUP(A358,'Informe 2025'!$A$5:$C$164,3,FALSE)</f>
        <v>Difusión Politica de Inclusión</v>
      </c>
      <c r="I358">
        <f>VLOOKUP(H358,'Informe 2025'!$C$6:$M$166,11,FALSE)</f>
        <v>1</v>
      </c>
    </row>
    <row r="359" spans="1:9" x14ac:dyDescent="0.25">
      <c r="A359" s="2">
        <v>28</v>
      </c>
      <c r="B359" t="str">
        <f>VLOOKUP(A359,'Informe 2025'!$1:$1048576,2,FALSE)</f>
        <v>MAYO</v>
      </c>
      <c r="C359" t="s">
        <v>301</v>
      </c>
      <c r="D359" s="20" t="str">
        <f>VLOOKUP(C359,ID!$1:$1048576,4,FALSE)</f>
        <v>103342</v>
      </c>
      <c r="E359" s="20" t="str">
        <f>VLOOKUP(C359,ID!$1:$1048576,3,FALSE)</f>
        <v xml:space="preserve"> YEMILFER SHEREZADE</v>
      </c>
      <c r="F359" s="20" t="str">
        <f>VLOOKUP(C359,ID!$1:$1048576,2,FALSE)</f>
        <v>CASTELLANO PERDOMO</v>
      </c>
      <c r="G359" s="2" t="str">
        <f>VLOOKUP(D359,CORREOS!$A$2:$B$570,2,FALSE)</f>
        <v>YCASTELLANO@ANTAYHOTELES.CL</v>
      </c>
      <c r="H359" s="24" t="str">
        <f>VLOOKUP(A359,'Informe 2025'!$A$5:$C$164,3,FALSE)</f>
        <v>Difusión Politica de Inclusión</v>
      </c>
      <c r="I359">
        <f>VLOOKUP(H359,'Informe 2025'!$C$6:$M$166,11,FALSE)</f>
        <v>1</v>
      </c>
    </row>
    <row r="360" spans="1:9" x14ac:dyDescent="0.25">
      <c r="A360" s="2">
        <v>28</v>
      </c>
      <c r="B360" t="str">
        <f>VLOOKUP(A360,'Informe 2025'!$1:$1048576,2,FALSE)</f>
        <v>MAYO</v>
      </c>
      <c r="C360" t="s">
        <v>1632</v>
      </c>
      <c r="D360" s="20" t="str">
        <f>VLOOKUP(C360,ID!$1:$1048576,4,FALSE)</f>
        <v>103252</v>
      </c>
      <c r="E360" s="20" t="str">
        <f>VLOOKUP(C360,ID!$1:$1048576,3,FALSE)</f>
        <v xml:space="preserve"> DIEGO ADRIAN</v>
      </c>
      <c r="F360" s="20" t="str">
        <f>VLOOKUP(C360,ID!$1:$1048576,2,FALSE)</f>
        <v>BARREAU FLORES</v>
      </c>
      <c r="G360" s="2" t="str">
        <f>VLOOKUP(D360,CORREOS!$A$2:$B$570,2,FALSE)</f>
        <v>DBARREAU@antayhoteles.cl</v>
      </c>
      <c r="H360" s="24" t="str">
        <f>VLOOKUP(A360,'Informe 2025'!$A$5:$C$164,3,FALSE)</f>
        <v>Difusión Politica de Inclusión</v>
      </c>
      <c r="I360">
        <f>VLOOKUP(H360,'Informe 2025'!$C$6:$M$166,11,FALSE)</f>
        <v>1</v>
      </c>
    </row>
    <row r="361" spans="1:9" x14ac:dyDescent="0.25">
      <c r="A361" s="2">
        <v>28</v>
      </c>
      <c r="B361" t="str">
        <f>VLOOKUP(A361,'Informe 2025'!$1:$1048576,2,FALSE)</f>
        <v>MAYO</v>
      </c>
      <c r="C361" t="s">
        <v>434</v>
      </c>
      <c r="D361" s="20" t="str">
        <f>VLOOKUP(C361,ID!$1:$1048576,4,FALSE)</f>
        <v>103065</v>
      </c>
      <c r="E361" s="20" t="str">
        <f>VLOOKUP(C361,ID!$1:$1048576,3,FALSE)</f>
        <v xml:space="preserve"> FELIPE</v>
      </c>
      <c r="F361" s="20" t="str">
        <f>VLOOKUP(C361,ID!$1:$1048576,2,FALSE)</f>
        <v>NAVARRETE LISBOA</v>
      </c>
      <c r="G361" s="2" t="str">
        <f>VLOOKUP(D361,CORREOS!$A$2:$B$570,2,FALSE)</f>
        <v>FNAVARRETE@ANTAYHOTELES.CL</v>
      </c>
      <c r="H361" s="24" t="str">
        <f>VLOOKUP(A361,'Informe 2025'!$A$5:$C$164,3,FALSE)</f>
        <v>Difusión Politica de Inclusión</v>
      </c>
      <c r="I361">
        <f>VLOOKUP(H361,'Informe 2025'!$C$6:$M$166,11,FALSE)</f>
        <v>1</v>
      </c>
    </row>
    <row r="362" spans="1:9" x14ac:dyDescent="0.25">
      <c r="A362" s="2">
        <v>28</v>
      </c>
      <c r="B362" t="str">
        <f>VLOOKUP(A362,'Informe 2025'!$1:$1048576,2,FALSE)</f>
        <v>MAYO</v>
      </c>
      <c r="C362" t="s">
        <v>365</v>
      </c>
      <c r="D362" s="20" t="str">
        <f>VLOOKUP(C362,ID!$1:$1048576,4,FALSE)</f>
        <v>101556</v>
      </c>
      <c r="E362" s="20" t="str">
        <f>VLOOKUP(C362,ID!$1:$1048576,3,FALSE)</f>
        <v xml:space="preserve"> VANIA ORIELE</v>
      </c>
      <c r="F362" s="20" t="str">
        <f>VLOOKUP(C362,ID!$1:$1048576,2,FALSE)</f>
        <v>GOMEZ VEGA</v>
      </c>
      <c r="G362" s="2" t="str">
        <f>VLOOKUP(D362,CORREOS!$A$2:$B$570,2,FALSE)</f>
        <v>VGOMEZ@ANTAYHOTELES.CL</v>
      </c>
      <c r="H362" s="24" t="str">
        <f>VLOOKUP(A362,'Informe 2025'!$A$5:$C$164,3,FALSE)</f>
        <v>Difusión Politica de Inclusión</v>
      </c>
      <c r="I362">
        <f>VLOOKUP(H362,'Informe 2025'!$C$6:$M$166,11,FALSE)</f>
        <v>1</v>
      </c>
    </row>
    <row r="363" spans="1:9" x14ac:dyDescent="0.25">
      <c r="A363" s="2">
        <v>28</v>
      </c>
      <c r="B363" t="str">
        <f>VLOOKUP(A363,'Informe 2025'!$1:$1048576,2,FALSE)</f>
        <v>MAYO</v>
      </c>
      <c r="C363" t="s">
        <v>511</v>
      </c>
      <c r="D363" s="20" t="str">
        <f>VLOOKUP(C363,ID!$1:$1048576,4,FALSE)</f>
        <v>101536</v>
      </c>
      <c r="E363" s="20" t="str">
        <f>VLOOKUP(C363,ID!$1:$1048576,3,FALSE)</f>
        <v xml:space="preserve"> NICOLAS</v>
      </c>
      <c r="F363" s="20" t="str">
        <f>VLOOKUP(C363,ID!$1:$1048576,2,FALSE)</f>
        <v>TELLO BARREAU</v>
      </c>
      <c r="G363" s="2" t="str">
        <f>VLOOKUP(D363,CORREOS!$A$2:$B$570,2,FALSE)</f>
        <v>NICOLAS.TELLO@ANTAYHOTELES.CL</v>
      </c>
      <c r="H363" s="24" t="str">
        <f>VLOOKUP(A363,'Informe 2025'!$A$5:$C$164,3,FALSE)</f>
        <v>Difusión Politica de Inclusión</v>
      </c>
      <c r="I363">
        <f>VLOOKUP(H363,'Informe 2025'!$C$6:$M$166,11,FALSE)</f>
        <v>1</v>
      </c>
    </row>
    <row r="364" spans="1:9" x14ac:dyDescent="0.25">
      <c r="A364" s="2">
        <v>28</v>
      </c>
      <c r="B364" t="str">
        <f>VLOOKUP(A364,'Informe 2025'!$1:$1048576,2,FALSE)</f>
        <v>MAYO</v>
      </c>
      <c r="C364" t="s">
        <v>297</v>
      </c>
      <c r="D364" s="20" t="str">
        <f>VLOOKUP(C364,ID!$1:$1048576,4,FALSE)</f>
        <v>101535</v>
      </c>
      <c r="E364" s="20" t="str">
        <f>VLOOKUP(C364,ID!$1:$1048576,3,FALSE)</f>
        <v xml:space="preserve"> BETZABET ALEJANDRA</v>
      </c>
      <c r="F364" s="20" t="str">
        <f>VLOOKUP(C364,ID!$1:$1048576,2,FALSE)</f>
        <v>CARREÑO PIZARRA</v>
      </c>
      <c r="G364" s="2" t="str">
        <f>VLOOKUP(D364,CORREOS!$A$2:$B$570,2,FALSE)</f>
        <v>BETZABETALEJANDRA.CARRENO@ANTAYHOTELES.CL</v>
      </c>
      <c r="H364" s="24" t="str">
        <f>VLOOKUP(A364,'Informe 2025'!$A$5:$C$164,3,FALSE)</f>
        <v>Difusión Politica de Inclusión</v>
      </c>
      <c r="I364">
        <f>VLOOKUP(H364,'Informe 2025'!$C$6:$M$166,11,FALSE)</f>
        <v>1</v>
      </c>
    </row>
    <row r="365" spans="1:9" x14ac:dyDescent="0.25">
      <c r="A365" s="2">
        <v>28</v>
      </c>
      <c r="B365" t="str">
        <f>VLOOKUP(A365,'Informe 2025'!$1:$1048576,2,FALSE)</f>
        <v>MAYO</v>
      </c>
      <c r="C365" t="s">
        <v>353</v>
      </c>
      <c r="D365" s="20" t="str">
        <f>VLOOKUP(C365,ID!$1:$1048576,4,FALSE)</f>
        <v>102748</v>
      </c>
      <c r="E365" s="20" t="str">
        <f>VLOOKUP(C365,ID!$1:$1048576,3,FALSE)</f>
        <v xml:space="preserve"> EMMERSON</v>
      </c>
      <c r="F365" s="20" t="str">
        <f>VLOOKUP(C365,ID!$1:$1048576,2,FALSE)</f>
        <v>GALVEZ IBARRA</v>
      </c>
      <c r="G365" s="2" t="str">
        <f>VLOOKUP(D365,CORREOS!$A$2:$B$570,2,FALSE)</f>
        <v>EGALVEZ@CL.LUCKIA.COM</v>
      </c>
      <c r="H365" s="24" t="str">
        <f>VLOOKUP(A365,'Informe 2025'!$A$5:$C$164,3,FALSE)</f>
        <v>Difusión Politica de Inclusión</v>
      </c>
      <c r="I365">
        <f>VLOOKUP(H365,'Informe 2025'!$C$6:$M$166,11,FALSE)</f>
        <v>1</v>
      </c>
    </row>
    <row r="366" spans="1:9" x14ac:dyDescent="0.25">
      <c r="A366" s="2">
        <v>28</v>
      </c>
      <c r="B366" t="str">
        <f>VLOOKUP(A366,'Informe 2025'!$1:$1048576,2,FALSE)</f>
        <v>MAYO</v>
      </c>
      <c r="C366" t="s">
        <v>269</v>
      </c>
      <c r="D366" s="20" t="str">
        <f>VLOOKUP(C366,ID!$1:$1048576,4,FALSE)</f>
        <v>101662</v>
      </c>
      <c r="E366" s="20" t="str">
        <f>VLOOKUP(C366,ID!$1:$1048576,3,FALSE)</f>
        <v xml:space="preserve"> CAROLINA ANDREA</v>
      </c>
      <c r="F366" s="20" t="str">
        <f>VLOOKUP(C366,ID!$1:$1048576,2,FALSE)</f>
        <v>ARIAS AEDO</v>
      </c>
      <c r="G366" s="2" t="str">
        <f>VLOOKUP(D366,CORREOS!$A$2:$B$570,2,FALSE)</f>
        <v>CAROLINAANDREA.ARIAS@ANTAYHOTELES.CL</v>
      </c>
      <c r="H366" s="24" t="str">
        <f>VLOOKUP(A366,'Informe 2025'!$A$5:$C$164,3,FALSE)</f>
        <v>Difusión Politica de Inclusión</v>
      </c>
      <c r="I366">
        <f>VLOOKUP(H366,'Informe 2025'!$C$6:$M$166,11,FALSE)</f>
        <v>1</v>
      </c>
    </row>
    <row r="367" spans="1:9" x14ac:dyDescent="0.25">
      <c r="A367" s="2">
        <v>28</v>
      </c>
      <c r="B367" t="str">
        <f>VLOOKUP(A367,'Informe 2025'!$1:$1048576,2,FALSE)</f>
        <v>MAYO</v>
      </c>
      <c r="C367" t="s">
        <v>289</v>
      </c>
      <c r="D367" s="20" t="str">
        <f>VLOOKUP(C367,ID!$1:$1048576,4,FALSE)</f>
        <v>101866</v>
      </c>
      <c r="E367" s="20" t="str">
        <f>VLOOKUP(C367,ID!$1:$1048576,3,FALSE)</f>
        <v xml:space="preserve"> MELANIE EUGENIA</v>
      </c>
      <c r="F367" s="20" t="str">
        <f>VLOOKUP(C367,ID!$1:$1048576,2,FALSE)</f>
        <v>CARMONA JAIME</v>
      </c>
      <c r="G367" s="2" t="str">
        <f>VLOOKUP(D367,CORREOS!$A$2:$B$570,2,FALSE)</f>
        <v>MCJAIME@ANTAYHOTELES.CL</v>
      </c>
      <c r="H367" s="24" t="str">
        <f>VLOOKUP(A367,'Informe 2025'!$A$5:$C$164,3,FALSE)</f>
        <v>Difusión Politica de Inclusión</v>
      </c>
      <c r="I367">
        <f>VLOOKUP(H367,'Informe 2025'!$C$6:$M$166,11,FALSE)</f>
        <v>1</v>
      </c>
    </row>
    <row r="368" spans="1:9" x14ac:dyDescent="0.25">
      <c r="A368" s="2">
        <v>28</v>
      </c>
      <c r="B368" t="str">
        <f>VLOOKUP(A368,'Informe 2025'!$1:$1048576,2,FALSE)</f>
        <v>MAYO</v>
      </c>
      <c r="C368" t="s">
        <v>236</v>
      </c>
      <c r="D368" s="20" t="str">
        <f>VLOOKUP(C368,ID!$1:$1048576,4,FALSE)</f>
        <v>103032</v>
      </c>
      <c r="E368" s="20" t="str">
        <f>VLOOKUP(C368,ID!$1:$1048576,3,FALSE)</f>
        <v xml:space="preserve"> VICTOR</v>
      </c>
      <c r="F368" s="20" t="str">
        <f>VLOOKUP(C368,ID!$1:$1048576,2,FALSE)</f>
        <v>ACEVEDO ARRIAZA</v>
      </c>
      <c r="G368" s="2" t="str">
        <f>VLOOKUP(D368,CORREOS!$A$2:$B$570,2,FALSE)</f>
        <v>VAARRIAZA@ANTAYHOTELES.CL</v>
      </c>
      <c r="H368" s="24" t="str">
        <f>VLOOKUP(A368,'Informe 2025'!$A$5:$C$164,3,FALSE)</f>
        <v>Difusión Politica de Inclusión</v>
      </c>
      <c r="I368">
        <f>VLOOKUP(H368,'Informe 2025'!$C$6:$M$166,11,FALSE)</f>
        <v>1</v>
      </c>
    </row>
    <row r="369" spans="1:9" x14ac:dyDescent="0.25">
      <c r="A369" s="2">
        <v>28</v>
      </c>
      <c r="B369" t="str">
        <f>VLOOKUP(A369,'Informe 2025'!$1:$1048576,2,FALSE)</f>
        <v>MAYO</v>
      </c>
      <c r="C369" t="s">
        <v>248</v>
      </c>
      <c r="D369" s="20" t="str">
        <f>VLOOKUP(C369,ID!$1:$1048576,4,FALSE)</f>
        <v>102546</v>
      </c>
      <c r="E369" s="20" t="str">
        <f>VLOOKUP(C369,ID!$1:$1048576,3,FALSE)</f>
        <v xml:space="preserve"> NICOLAS</v>
      </c>
      <c r="F369" s="20" t="str">
        <f>VLOOKUP(C369,ID!$1:$1048576,2,FALSE)</f>
        <v>ALARCON LAVIN</v>
      </c>
      <c r="G369" s="2" t="str">
        <f>VLOOKUP(D369,CORREOS!$A$2:$B$570,2,FALSE)</f>
        <v>NALARCON@ANTAYHOTELES.CL</v>
      </c>
      <c r="H369" s="24" t="str">
        <f>VLOOKUP(A369,'Informe 2025'!$A$5:$C$164,3,FALSE)</f>
        <v>Difusión Politica de Inclusión</v>
      </c>
      <c r="I369">
        <f>VLOOKUP(H369,'Informe 2025'!$C$6:$M$166,11,FALSE)</f>
        <v>1</v>
      </c>
    </row>
    <row r="370" spans="1:9" x14ac:dyDescent="0.25">
      <c r="A370" s="2">
        <v>28</v>
      </c>
      <c r="B370" t="str">
        <f>VLOOKUP(A370,'Informe 2025'!$1:$1048576,2,FALSE)</f>
        <v>MAYO</v>
      </c>
      <c r="C370" t="s">
        <v>1631</v>
      </c>
      <c r="D370" s="20" t="str">
        <f>VLOOKUP(C370,ID!$1:$1048576,4,FALSE)</f>
        <v>102197</v>
      </c>
      <c r="E370" s="20" t="str">
        <f>VLOOKUP(C370,ID!$1:$1048576,3,FALSE)</f>
        <v xml:space="preserve"> JUAN MAYKOL LUIS</v>
      </c>
      <c r="F370" s="20" t="str">
        <f>VLOOKUP(C370,ID!$1:$1048576,2,FALSE)</f>
        <v>BAEZA COFRÉ</v>
      </c>
      <c r="G370" s="2" t="e">
        <f>VLOOKUP(D370,CORREOS!$A$2:$B$570,2,FALSE)</f>
        <v>#N/A</v>
      </c>
      <c r="H370" s="24" t="str">
        <f>VLOOKUP(A370,'Informe 2025'!$A$5:$C$164,3,FALSE)</f>
        <v>Difusión Politica de Inclusión</v>
      </c>
      <c r="I370">
        <f>VLOOKUP(H370,'Informe 2025'!$C$6:$M$166,11,FALSE)</f>
        <v>1</v>
      </c>
    </row>
    <row r="371" spans="1:9" x14ac:dyDescent="0.25">
      <c r="A371" s="2">
        <v>28</v>
      </c>
      <c r="B371" t="str">
        <f>VLOOKUP(A371,'Informe 2025'!$1:$1048576,2,FALSE)</f>
        <v>MAYO</v>
      </c>
      <c r="C371" t="s">
        <v>501</v>
      </c>
      <c r="D371" s="20" t="str">
        <f>VLOOKUP(C371,ID!$1:$1048576,4,FALSE)</f>
        <v>103318</v>
      </c>
      <c r="E371" s="20" t="str">
        <f>VLOOKUP(C371,ID!$1:$1048576,3,FALSE)</f>
        <v xml:space="preserve"> MATIAS IGNACIO</v>
      </c>
      <c r="F371" s="20" t="str">
        <f>VLOOKUP(C371,ID!$1:$1048576,2,FALSE)</f>
        <v>SARTORI REYES</v>
      </c>
      <c r="G371" s="2" t="str">
        <f>VLOOKUP(D371,CORREOS!$A$2:$B$570,2,FALSE)</f>
        <v>MSARTORI@CL.LUCKIA.COM</v>
      </c>
      <c r="H371" s="24" t="str">
        <f>VLOOKUP(A371,'Informe 2025'!$A$5:$C$164,3,FALSE)</f>
        <v>Difusión Politica de Inclusión</v>
      </c>
      <c r="I371">
        <f>VLOOKUP(H371,'Informe 2025'!$C$6:$M$166,11,FALSE)</f>
        <v>1</v>
      </c>
    </row>
    <row r="372" spans="1:9" x14ac:dyDescent="0.25">
      <c r="A372" s="2">
        <v>28</v>
      </c>
      <c r="B372" t="str">
        <f>VLOOKUP(A372,'Informe 2025'!$1:$1048576,2,FALSE)</f>
        <v>MAYO</v>
      </c>
      <c r="C372" t="s">
        <v>339</v>
      </c>
      <c r="D372" s="20" t="str">
        <f>VLOOKUP(C372,ID!$1:$1048576,4,FALSE)</f>
        <v>101938</v>
      </c>
      <c r="E372" s="20" t="str">
        <f>VLOOKUP(C372,ID!$1:$1048576,3,FALSE)</f>
        <v xml:space="preserve"> LORETO ANDREA</v>
      </c>
      <c r="F372" s="20" t="str">
        <f>VLOOKUP(C372,ID!$1:$1048576,2,FALSE)</f>
        <v>FERNANDEZ GONZALEZ</v>
      </c>
      <c r="G372" s="2" t="str">
        <f>VLOOKUP(D372,CORREOS!$A$2:$B$570,2,FALSE)</f>
        <v>LFGONZALEZ@CL.LUCKIA.COM</v>
      </c>
      <c r="H372" s="24" t="str">
        <f>VLOOKUP(A372,'Informe 2025'!$A$5:$C$164,3,FALSE)</f>
        <v>Difusión Politica de Inclusión</v>
      </c>
      <c r="I372">
        <f>VLOOKUP(H372,'Informe 2025'!$C$6:$M$166,11,FALSE)</f>
        <v>1</v>
      </c>
    </row>
    <row r="373" spans="1:9" x14ac:dyDescent="0.25">
      <c r="A373" s="2">
        <v>28</v>
      </c>
      <c r="B373" t="str">
        <f>VLOOKUP(A373,'Informe 2025'!$1:$1048576,2,FALSE)</f>
        <v>MAYO</v>
      </c>
      <c r="C373" t="s">
        <v>505</v>
      </c>
      <c r="D373" s="20" t="str">
        <f>VLOOKUP(C373,ID!$1:$1048576,4,FALSE)</f>
        <v>101331</v>
      </c>
      <c r="E373" s="20" t="str">
        <f>VLOOKUP(C373,ID!$1:$1048576,3,FALSE)</f>
        <v xml:space="preserve"> CHRISTIAN OLIVER</v>
      </c>
      <c r="F373" s="20" t="str">
        <f>VLOOKUP(C373,ID!$1:$1048576,2,FALSE)</f>
        <v>SILVA CAMPOS</v>
      </c>
      <c r="G373" s="2" t="str">
        <f>VLOOKUP(D373,CORREOS!$A$2:$B$570,2,FALSE)</f>
        <v>CHRISTIANOLIVER.SILVA@CL.LUCKIA.COM</v>
      </c>
      <c r="H373" s="24" t="str">
        <f>VLOOKUP(A373,'Informe 2025'!$A$5:$C$164,3,FALSE)</f>
        <v>Difusión Politica de Inclusión</v>
      </c>
      <c r="I373">
        <f>VLOOKUP(H373,'Informe 2025'!$C$6:$M$166,11,FALSE)</f>
        <v>1</v>
      </c>
    </row>
    <row r="374" spans="1:9" x14ac:dyDescent="0.25">
      <c r="A374" s="2">
        <v>28</v>
      </c>
      <c r="B374" t="str">
        <f>VLOOKUP(A374,'Informe 2025'!$1:$1048576,2,FALSE)</f>
        <v>MAYO</v>
      </c>
      <c r="C374" t="s">
        <v>258</v>
      </c>
      <c r="D374" s="20" t="str">
        <f>VLOOKUP(C374,ID!$1:$1048576,4,FALSE)</f>
        <v>103394</v>
      </c>
      <c r="E374" s="20" t="str">
        <f>VLOOKUP(C374,ID!$1:$1048576,3,FALSE)</f>
        <v xml:space="preserve"> THIARE ALEXANDRA</v>
      </c>
      <c r="F374" s="20" t="str">
        <f>VLOOKUP(C374,ID!$1:$1048576,2,FALSE)</f>
        <v>ANTEZANA ARAYA</v>
      </c>
      <c r="G374" s="2" t="str">
        <f>VLOOKUP(D374,CORREOS!$A$2:$B$570,2,FALSE)</f>
        <v>TANTEZANA@ANTAYHOTELES.CL</v>
      </c>
      <c r="H374" s="24" t="str">
        <f>VLOOKUP(A374,'Informe 2025'!$A$5:$C$164,3,FALSE)</f>
        <v>Difusión Politica de Inclusión</v>
      </c>
      <c r="I374">
        <f>VLOOKUP(H374,'Informe 2025'!$C$6:$M$166,11,FALSE)</f>
        <v>1</v>
      </c>
    </row>
    <row r="375" spans="1:9" x14ac:dyDescent="0.25">
      <c r="A375" s="2">
        <v>28</v>
      </c>
      <c r="B375" t="str">
        <f>VLOOKUP(A375,'Informe 2025'!$1:$1048576,2,FALSE)</f>
        <v>MAYO</v>
      </c>
      <c r="C375" t="s">
        <v>275</v>
      </c>
      <c r="D375" s="20" t="str">
        <f>VLOOKUP(C375,ID!$1:$1048576,4,FALSE)</f>
        <v>102798</v>
      </c>
      <c r="E375" s="20" t="str">
        <f>VLOOKUP(C375,ID!$1:$1048576,3,FALSE)</f>
        <v xml:space="preserve"> ANAHI PAZ</v>
      </c>
      <c r="F375" s="20" t="str">
        <f>VLOOKUP(C375,ID!$1:$1048576,2,FALSE)</f>
        <v>ASTUDILLO MUÑOZ</v>
      </c>
      <c r="G375" s="2" t="str">
        <f>VLOOKUP(D375,CORREOS!$A$2:$B$570,2,FALSE)</f>
        <v>AASTUDILLO@ANTAYHOTELES.CL</v>
      </c>
      <c r="H375" s="24" t="str">
        <f>VLOOKUP(A375,'Informe 2025'!$A$5:$C$164,3,FALSE)</f>
        <v>Difusión Politica de Inclusión</v>
      </c>
      <c r="I375">
        <f>VLOOKUP(H375,'Informe 2025'!$C$6:$M$166,11,FALSE)</f>
        <v>1</v>
      </c>
    </row>
    <row r="376" spans="1:9" x14ac:dyDescent="0.25">
      <c r="A376" s="2">
        <v>28</v>
      </c>
      <c r="B376" t="str">
        <f>VLOOKUP(A376,'Informe 2025'!$1:$1048576,2,FALSE)</f>
        <v>MAYO</v>
      </c>
      <c r="C376" t="s">
        <v>1913</v>
      </c>
      <c r="D376" s="20" t="str">
        <f>VLOOKUP(C376,ID!$1:$1048576,4,FALSE)</f>
        <v>102471</v>
      </c>
      <c r="E376" s="20" t="str">
        <f>VLOOKUP(C376,ID!$1:$1048576,3,FALSE)</f>
        <v xml:space="preserve"> CRISTINA DENIS</v>
      </c>
      <c r="F376" s="20" t="str">
        <f>VLOOKUP(C376,ID!$1:$1048576,2,FALSE)</f>
        <v>CORTES SANTIS</v>
      </c>
      <c r="G376" s="2" t="str">
        <f>VLOOKUP(D376,CORREOS!$A$2:$B$570,2,FALSE)</f>
        <v>CCSANTIS@CL.LUCKIA.COM</v>
      </c>
      <c r="H376" s="24" t="str">
        <f>VLOOKUP(A376,'Informe 2025'!$A$5:$C$164,3,FALSE)</f>
        <v>Difusión Politica de Inclusión</v>
      </c>
      <c r="I376">
        <f>VLOOKUP(H376,'Informe 2025'!$C$6:$M$166,11,FALSE)</f>
        <v>1</v>
      </c>
    </row>
    <row r="377" spans="1:9" x14ac:dyDescent="0.25">
      <c r="A377" s="2">
        <v>28</v>
      </c>
      <c r="B377" t="str">
        <f>VLOOKUP(A377,'Informe 2025'!$1:$1048576,2,FALSE)</f>
        <v>MAYO</v>
      </c>
      <c r="C377" t="s">
        <v>265</v>
      </c>
      <c r="D377" s="20" t="str">
        <f>VLOOKUP(C377,ID!$1:$1048576,4,FALSE)</f>
        <v>103673</v>
      </c>
      <c r="E377" s="20" t="str">
        <f>VLOOKUP(C377,ID!$1:$1048576,3,FALSE)</f>
        <v xml:space="preserve"> DOMINIC SILENNE</v>
      </c>
      <c r="F377" s="20" t="str">
        <f>VLOOKUP(C377,ID!$1:$1048576,2,FALSE)</f>
        <v>ARAYA NEIRA</v>
      </c>
      <c r="G377" s="2" t="str">
        <f>VLOOKUP(D377,CORREOS!$A$2:$B$570,2,FALSE)</f>
        <v>DANEIRA@CL.LUCKIA.COM</v>
      </c>
      <c r="H377" s="24" t="str">
        <f>VLOOKUP(A377,'Informe 2025'!$A$5:$C$164,3,FALSE)</f>
        <v>Difusión Politica de Inclusión</v>
      </c>
      <c r="I377">
        <f>VLOOKUP(H377,'Informe 2025'!$C$6:$M$166,11,FALSE)</f>
        <v>1</v>
      </c>
    </row>
    <row r="378" spans="1:9" x14ac:dyDescent="0.25">
      <c r="A378" s="2">
        <v>28</v>
      </c>
      <c r="B378" t="str">
        <f>VLOOKUP(A378,'Informe 2025'!$1:$1048576,2,FALSE)</f>
        <v>MAYO</v>
      </c>
      <c r="C378" t="s">
        <v>285</v>
      </c>
      <c r="D378" s="20" t="str">
        <f>VLOOKUP(C378,ID!$1:$1048576,4,FALSE)</f>
        <v>102599</v>
      </c>
      <c r="E378" s="20" t="str">
        <f>VLOOKUP(C378,ID!$1:$1048576,3,FALSE)</f>
        <v xml:space="preserve"> EMILIO SEBASTIAN</v>
      </c>
      <c r="F378" s="20" t="str">
        <f>VLOOKUP(C378,ID!$1:$1048576,2,FALSE)</f>
        <v>CACERES GAJARDO</v>
      </c>
      <c r="G378" s="2" t="str">
        <f>VLOOKUP(D378,CORREOS!$A$2:$B$570,2,FALSE)</f>
        <v>ECACERES@CL.LUCKIA.COM</v>
      </c>
      <c r="H378" s="24" t="str">
        <f>VLOOKUP(A378,'Informe 2025'!$A$5:$C$164,3,FALSE)</f>
        <v>Difusión Politica de Inclusión</v>
      </c>
      <c r="I378">
        <f>VLOOKUP(H378,'Informe 2025'!$C$6:$M$166,11,FALSE)</f>
        <v>1</v>
      </c>
    </row>
    <row r="379" spans="1:9" x14ac:dyDescent="0.25">
      <c r="A379" s="2">
        <v>28</v>
      </c>
      <c r="B379" t="str">
        <f>VLOOKUP(A379,'Informe 2025'!$1:$1048576,2,FALSE)</f>
        <v>MAYO</v>
      </c>
      <c r="C379" t="s">
        <v>251</v>
      </c>
      <c r="D379" s="20" t="str">
        <f>VLOOKUP(C379,ID!$1:$1048576,4,FALSE)</f>
        <v>102611</v>
      </c>
      <c r="E379" s="20" t="str">
        <f>VLOOKUP(C379,ID!$1:$1048576,3,FALSE)</f>
        <v xml:space="preserve"> DIEGO ALEXIS</v>
      </c>
      <c r="F379" s="20" t="str">
        <f>VLOOKUP(C379,ID!$1:$1048576,2,FALSE)</f>
        <v>ALID ALID</v>
      </c>
      <c r="G379" s="2" t="str">
        <f>VLOOKUP(D379,CORREOS!$A$2:$B$570,2,FALSE)</f>
        <v>DALID@ANTAYHOTELES.CL</v>
      </c>
      <c r="H379" s="24" t="str">
        <f>VLOOKUP(A379,'Informe 2025'!$A$5:$C$164,3,FALSE)</f>
        <v>Difusión Politica de Inclusión</v>
      </c>
      <c r="I379">
        <f>VLOOKUP(H379,'Informe 2025'!$C$6:$M$166,11,FALSE)</f>
        <v>1</v>
      </c>
    </row>
    <row r="380" spans="1:9" x14ac:dyDescent="0.25">
      <c r="A380" s="2">
        <v>28</v>
      </c>
      <c r="B380" t="str">
        <f>VLOOKUP(A380,'Informe 2025'!$1:$1048576,2,FALSE)</f>
        <v>MAYO</v>
      </c>
      <c r="C380" t="s">
        <v>1914</v>
      </c>
      <c r="D380" s="20" t="str">
        <f>VLOOKUP(C380,ID!$1:$1048576,4,FALSE)</f>
        <v>102705</v>
      </c>
      <c r="E380" s="20" t="str">
        <f>VLOOKUP(C380,ID!$1:$1048576,3,FALSE)</f>
        <v xml:space="preserve"> CLAUDIO ALBERTO</v>
      </c>
      <c r="F380" s="20" t="str">
        <f>VLOOKUP(C380,ID!$1:$1048576,2,FALSE)</f>
        <v>CARRASCO MEDEL</v>
      </c>
      <c r="G380" s="2" t="str">
        <f>VLOOKUP(D380,CORREOS!$A$2:$B$570,2,FALSE)</f>
        <v>CCARRASCO@CL.LUCKIA.COM</v>
      </c>
      <c r="H380" s="24" t="str">
        <f>VLOOKUP(A380,'Informe 2025'!$A$5:$C$164,3,FALSE)</f>
        <v>Difusión Politica de Inclusión</v>
      </c>
      <c r="I380">
        <f>VLOOKUP(H380,'Informe 2025'!$C$6:$M$166,11,FALSE)</f>
        <v>1</v>
      </c>
    </row>
    <row r="381" spans="1:9" x14ac:dyDescent="0.25">
      <c r="A381" s="2">
        <v>28</v>
      </c>
      <c r="B381" t="str">
        <f>VLOOKUP(A381,'Informe 2025'!$1:$1048576,2,FALSE)</f>
        <v>MAYO</v>
      </c>
      <c r="C381" t="s">
        <v>497</v>
      </c>
      <c r="D381" s="20" t="str">
        <f>VLOOKUP(C381,ID!$1:$1048576,4,FALSE)</f>
        <v>101379</v>
      </c>
      <c r="E381" s="20" t="str">
        <f>VLOOKUP(C381,ID!$1:$1048576,3,FALSE)</f>
        <v xml:space="preserve"> FABRIZZIO ANIBAL DUVAN</v>
      </c>
      <c r="F381" s="20" t="str">
        <f>VLOOKUP(C381,ID!$1:$1048576,2,FALSE)</f>
        <v>SALDAÑO CHAMORRO</v>
      </c>
      <c r="G381" s="2" t="str">
        <f>VLOOKUP(D381,CORREOS!$A$2:$B$570,2,FALSE)</f>
        <v>FABRIZZIOANIBALDUVAN.SALDANO@CL.LUCKIA.COM</v>
      </c>
      <c r="H381" s="24" t="str">
        <f>VLOOKUP(A381,'Informe 2025'!$A$5:$C$164,3,FALSE)</f>
        <v>Difusión Politica de Inclusión</v>
      </c>
      <c r="I381">
        <f>VLOOKUP(H381,'Informe 2025'!$C$6:$M$166,11,FALSE)</f>
        <v>1</v>
      </c>
    </row>
    <row r="382" spans="1:9" x14ac:dyDescent="0.25">
      <c r="A382" s="2">
        <v>28</v>
      </c>
      <c r="B382" t="str">
        <f>VLOOKUP(A382,'Informe 2025'!$1:$1048576,2,FALSE)</f>
        <v>MAYO</v>
      </c>
      <c r="C382" t="s">
        <v>523</v>
      </c>
      <c r="D382" s="20" t="str">
        <f>VLOOKUP(C382,ID!$1:$1048576,4,FALSE)</f>
        <v>103013</v>
      </c>
      <c r="E382" s="20" t="str">
        <f>VLOOKUP(C382,ID!$1:$1048576,3,FALSE)</f>
        <v xml:space="preserve"> SOFIA CATALINA</v>
      </c>
      <c r="F382" s="20" t="str">
        <f>VLOOKUP(C382,ID!$1:$1048576,2,FALSE)</f>
        <v>VARGAS AGUIRRE</v>
      </c>
      <c r="G382" s="2" t="str">
        <f>VLOOKUP(D382,CORREOS!$A$2:$B$570,2,FALSE)</f>
        <v>SVAGUIRRE@ANTAYHOTELES.CL</v>
      </c>
      <c r="H382" s="24" t="str">
        <f>VLOOKUP(A382,'Informe 2025'!$A$5:$C$164,3,FALSE)</f>
        <v>Difusión Politica de Inclusión</v>
      </c>
      <c r="I382">
        <f>VLOOKUP(H382,'Informe 2025'!$C$6:$M$166,11,FALSE)</f>
        <v>1</v>
      </c>
    </row>
    <row r="383" spans="1:9" x14ac:dyDescent="0.25">
      <c r="A383" s="2">
        <v>28</v>
      </c>
      <c r="B383" t="str">
        <f>VLOOKUP(A383,'Informe 2025'!$1:$1048576,2,FALSE)</f>
        <v>MAYO</v>
      </c>
      <c r="C383" t="s">
        <v>399</v>
      </c>
      <c r="D383" s="20" t="str">
        <f>VLOOKUP(C383,ID!$1:$1048576,4,FALSE)</f>
        <v>102737</v>
      </c>
      <c r="E383" s="20" t="str">
        <f>VLOOKUP(C383,ID!$1:$1048576,3,FALSE)</f>
        <v xml:space="preserve"> MARJORIE</v>
      </c>
      <c r="F383" s="20" t="str">
        <f>VLOOKUP(C383,ID!$1:$1048576,2,FALSE)</f>
        <v>LOPEZ NAVARRO</v>
      </c>
      <c r="G383" s="2" t="str">
        <f>VLOOKUP(D383,CORREOS!$A$2:$B$570,2,FALSE)</f>
        <v>MLNAVARRO@ANTAYHOTELES.CL</v>
      </c>
      <c r="H383" s="24" t="str">
        <f>VLOOKUP(A383,'Informe 2025'!$A$5:$C$164,3,FALSE)</f>
        <v>Difusión Politica de Inclusión</v>
      </c>
      <c r="I383">
        <f>VLOOKUP(H383,'Informe 2025'!$C$6:$M$166,11,FALSE)</f>
        <v>1</v>
      </c>
    </row>
    <row r="384" spans="1:9" x14ac:dyDescent="0.25">
      <c r="A384" s="2">
        <v>28</v>
      </c>
      <c r="B384" t="str">
        <f>VLOOKUP(A384,'Informe 2025'!$1:$1048576,2,FALSE)</f>
        <v>MAYO</v>
      </c>
      <c r="C384" t="s">
        <v>259</v>
      </c>
      <c r="D384" s="20" t="str">
        <f>VLOOKUP(C384,ID!$1:$1048576,4,FALSE)</f>
        <v>101768</v>
      </c>
      <c r="E384" s="20" t="str">
        <f>VLOOKUP(C384,ID!$1:$1048576,3,FALSE)</f>
        <v xml:space="preserve"> GONZALO EDUARDO</v>
      </c>
      <c r="F384" s="20" t="str">
        <f>VLOOKUP(C384,ID!$1:$1048576,2,FALSE)</f>
        <v>ANTEZANA POBLETE</v>
      </c>
      <c r="G384" s="2" t="str">
        <f>VLOOKUP(D384,CORREOS!$A$2:$B$570,2,FALSE)</f>
        <v>GANTEZANA@ANTAYHOTELES.CL</v>
      </c>
      <c r="H384" s="24" t="str">
        <f>VLOOKUP(A384,'Informe 2025'!$A$5:$C$164,3,FALSE)</f>
        <v>Difusión Politica de Inclusión</v>
      </c>
      <c r="I384">
        <f>VLOOKUP(H384,'Informe 2025'!$C$6:$M$166,11,FALSE)</f>
        <v>1</v>
      </c>
    </row>
    <row r="385" spans="1:9" x14ac:dyDescent="0.25">
      <c r="A385" s="2">
        <v>28</v>
      </c>
      <c r="B385" t="str">
        <f>VLOOKUP(A385,'Informe 2025'!$1:$1048576,2,FALSE)</f>
        <v>MAYO</v>
      </c>
      <c r="C385" t="s">
        <v>1810</v>
      </c>
      <c r="D385" s="20" t="str">
        <f>VLOOKUP(C385,ID!$1:$1048576,4,FALSE)</f>
        <v>101425</v>
      </c>
      <c r="E385" s="20" t="str">
        <f>VLOOKUP(C385,ID!$1:$1048576,3,FALSE)</f>
        <v xml:space="preserve"> KAREN PAMELA</v>
      </c>
      <c r="F385" s="20" t="str">
        <f>VLOOKUP(C385,ID!$1:$1048576,2,FALSE)</f>
        <v>SANTANA JUAREZ</v>
      </c>
      <c r="G385" s="2" t="str">
        <f>VLOOKUP(D385,CORREOS!$A$2:$B$570,2,FALSE)</f>
        <v>KARENPAMELA.SANTANA@antayhoteles.cl</v>
      </c>
      <c r="H385" s="24" t="str">
        <f>VLOOKUP(A385,'Informe 2025'!$A$5:$C$164,3,FALSE)</f>
        <v>Difusión Politica de Inclusión</v>
      </c>
      <c r="I385">
        <f>VLOOKUP(H385,'Informe 2025'!$C$6:$M$166,11,FALSE)</f>
        <v>1</v>
      </c>
    </row>
    <row r="386" spans="1:9" x14ac:dyDescent="0.25">
      <c r="A386" s="2">
        <v>28</v>
      </c>
      <c r="B386" t="str">
        <f>VLOOKUP(A386,'Informe 2025'!$1:$1048576,2,FALSE)</f>
        <v>MAYO</v>
      </c>
      <c r="C386" t="s">
        <v>1629</v>
      </c>
      <c r="D386" s="20" t="str">
        <f>VLOOKUP(C386,ID!$1:$1048576,4,FALSE)</f>
        <v>103189</v>
      </c>
      <c r="E386" s="20" t="str">
        <f>VLOOKUP(C386,ID!$1:$1048576,3,FALSE)</f>
        <v xml:space="preserve"> ISIDORA MONSERRATH</v>
      </c>
      <c r="F386" s="20" t="str">
        <f>VLOOKUP(C386,ID!$1:$1048576,2,FALSE)</f>
        <v>ASCENCIO MARTINEZ</v>
      </c>
      <c r="G386" s="2" t="str">
        <f>VLOOKUP(D386,CORREOS!$A$2:$B$570,2,FALSE)</f>
        <v>IASCENCIO@ANTAYHOTELES.CL</v>
      </c>
      <c r="H386" s="24" t="str">
        <f>VLOOKUP(A386,'Informe 2025'!$A$5:$C$164,3,FALSE)</f>
        <v>Difusión Politica de Inclusión</v>
      </c>
      <c r="I386">
        <f>VLOOKUP(H386,'Informe 2025'!$C$6:$M$166,11,FALSE)</f>
        <v>1</v>
      </c>
    </row>
    <row r="387" spans="1:9" x14ac:dyDescent="0.25">
      <c r="A387" s="2">
        <v>28</v>
      </c>
      <c r="B387" t="str">
        <f>VLOOKUP(A387,'Informe 2025'!$1:$1048576,2,FALSE)</f>
        <v>MAYO</v>
      </c>
      <c r="C387" t="s">
        <v>302</v>
      </c>
      <c r="D387" s="20" t="str">
        <f>VLOOKUP(C387,ID!$1:$1048576,4,FALSE)</f>
        <v>101455</v>
      </c>
      <c r="E387" s="20" t="str">
        <f>VLOOKUP(C387,ID!$1:$1048576,3,FALSE)</f>
        <v xml:space="preserve"> PAULINA HELGA</v>
      </c>
      <c r="F387" s="20" t="str">
        <f>VLOOKUP(C387,ID!$1:$1048576,2,FALSE)</f>
        <v>CASTILLO MORALES</v>
      </c>
      <c r="G387" s="2" t="str">
        <f>VLOOKUP(D387,CORREOS!$A$2:$B$570,2,FALSE)</f>
        <v>PAULINAHELGA.CASTILLO@CL.LUCKIA.COM</v>
      </c>
      <c r="H387" s="24" t="str">
        <f>VLOOKUP(A387,'Informe 2025'!$A$5:$C$164,3,FALSE)</f>
        <v>Difusión Politica de Inclusión</v>
      </c>
      <c r="I387">
        <f>VLOOKUP(H387,'Informe 2025'!$C$6:$M$166,11,FALSE)</f>
        <v>1</v>
      </c>
    </row>
    <row r="388" spans="1:9" x14ac:dyDescent="0.25">
      <c r="A388" s="2">
        <v>28</v>
      </c>
      <c r="B388" t="str">
        <f>VLOOKUP(A388,'Informe 2025'!$1:$1048576,2,FALSE)</f>
        <v>MAYO</v>
      </c>
      <c r="C388" t="s">
        <v>371</v>
      </c>
      <c r="D388" s="20" t="str">
        <f>VLOOKUP(C388,ID!$1:$1048576,4,FALSE)</f>
        <v>101456</v>
      </c>
      <c r="E388" s="20" t="str">
        <f>VLOOKUP(C388,ID!$1:$1048576,3,FALSE)</f>
        <v xml:space="preserve"> MARIA JOSE</v>
      </c>
      <c r="F388" s="20" t="str">
        <f>VLOOKUP(C388,ID!$1:$1048576,2,FALSE)</f>
        <v>GONZALEZ MEDINA</v>
      </c>
      <c r="G388" s="2" t="str">
        <f>VLOOKUP(D388,CORREOS!$A$2:$B$570,2,FALSE)</f>
        <v>MGMEDINA@CL.LUCKIA.COM</v>
      </c>
      <c r="H388" s="24" t="str">
        <f>VLOOKUP(A388,'Informe 2025'!$A$5:$C$164,3,FALSE)</f>
        <v>Difusión Politica de Inclusión</v>
      </c>
      <c r="I388">
        <f>VLOOKUP(H388,'Informe 2025'!$C$6:$M$166,11,FALSE)</f>
        <v>1</v>
      </c>
    </row>
    <row r="389" spans="1:9" x14ac:dyDescent="0.25">
      <c r="A389" s="2">
        <v>28</v>
      </c>
      <c r="B389" t="str">
        <f>VLOOKUP(A389,'Informe 2025'!$1:$1048576,2,FALSE)</f>
        <v>MAYO</v>
      </c>
      <c r="C389" t="s">
        <v>378</v>
      </c>
      <c r="D389" s="20" t="str">
        <f>VLOOKUP(C389,ID!$1:$1048576,4,FALSE)</f>
        <v>101407</v>
      </c>
      <c r="E389" s="20" t="str">
        <f>VLOOKUP(C389,ID!$1:$1048576,3,FALSE)</f>
        <v xml:space="preserve"> JOSEPH ALFREDO</v>
      </c>
      <c r="F389" s="20" t="str">
        <f>VLOOKUP(C389,ID!$1:$1048576,2,FALSE)</f>
        <v>HENRIQUEZ ARAYA</v>
      </c>
      <c r="G389" s="2" t="str">
        <f>VLOOKUP(D389,CORREOS!$A$2:$B$570,2,FALSE)</f>
        <v>JOSEPHALFREDO.HENRIQUEZ@CL.LUCKIA.COM</v>
      </c>
      <c r="H389" s="24" t="str">
        <f>VLOOKUP(A389,'Informe 2025'!$A$5:$C$164,3,FALSE)</f>
        <v>Difusión Politica de Inclusión</v>
      </c>
      <c r="I389">
        <f>VLOOKUP(H389,'Informe 2025'!$C$6:$M$166,11,FALSE)</f>
        <v>1</v>
      </c>
    </row>
    <row r="390" spans="1:9" x14ac:dyDescent="0.25">
      <c r="A390" s="2">
        <v>28</v>
      </c>
      <c r="B390" t="str">
        <f>VLOOKUP(A390,'Informe 2025'!$1:$1048576,2,FALSE)</f>
        <v>MAYO</v>
      </c>
      <c r="C390" t="s">
        <v>328</v>
      </c>
      <c r="D390" s="20" t="str">
        <f>VLOOKUP(C390,ID!$1:$1048576,4,FALSE)</f>
        <v>101398</v>
      </c>
      <c r="E390" s="20" t="str">
        <f>VLOOKUP(C390,ID!$1:$1048576,3,FALSE)</f>
        <v xml:space="preserve"> OLGA DEL CARMEN</v>
      </c>
      <c r="F390" s="20" t="str">
        <f>VLOOKUP(C390,ID!$1:$1048576,2,FALSE)</f>
        <v>DELGADO BUSTOS</v>
      </c>
      <c r="G390" s="2" t="str">
        <f>VLOOKUP(D390,CORREOS!$A$2:$B$570,2,FALSE)</f>
        <v>OLGADELCARMEN.DELGADO@CL.LUCKIA.COM</v>
      </c>
      <c r="H390" s="24" t="str">
        <f>VLOOKUP(A390,'Informe 2025'!$A$5:$C$164,3,FALSE)</f>
        <v>Difusión Politica de Inclusión</v>
      </c>
      <c r="I390">
        <f>VLOOKUP(H390,'Informe 2025'!$C$6:$M$166,11,FALSE)</f>
        <v>1</v>
      </c>
    </row>
    <row r="391" spans="1:9" x14ac:dyDescent="0.25">
      <c r="A391" s="2">
        <v>28</v>
      </c>
      <c r="B391" t="str">
        <f>VLOOKUP(A391,'Informe 2025'!$1:$1048576,2,FALSE)</f>
        <v>MAYO</v>
      </c>
      <c r="C391" t="s">
        <v>519</v>
      </c>
      <c r="D391" s="20" t="str">
        <f>VLOOKUP(C391,ID!$1:$1048576,4,FALSE)</f>
        <v>101385</v>
      </c>
      <c r="E391" s="20" t="str">
        <f>VLOOKUP(C391,ID!$1:$1048576,3,FALSE)</f>
        <v xml:space="preserve"> OSCAR IGNACIO</v>
      </c>
      <c r="F391" s="20" t="str">
        <f>VLOOKUP(C391,ID!$1:$1048576,2,FALSE)</f>
        <v>VALDERRAMA FERNANDEZ</v>
      </c>
      <c r="G391" s="2" t="str">
        <f>VLOOKUP(D391,CORREOS!$A$2:$B$570,2,FALSE)</f>
        <v>OSCARIGNACIO.VALDERRAMA@CL.LUCKIA.COM</v>
      </c>
      <c r="H391" s="24" t="str">
        <f>VLOOKUP(A391,'Informe 2025'!$A$5:$C$164,3,FALSE)</f>
        <v>Difusión Politica de Inclusión</v>
      </c>
      <c r="I391">
        <f>VLOOKUP(H391,'Informe 2025'!$C$6:$M$166,11,FALSE)</f>
        <v>1</v>
      </c>
    </row>
    <row r="392" spans="1:9" x14ac:dyDescent="0.25">
      <c r="A392" s="2">
        <v>28</v>
      </c>
      <c r="B392" t="str">
        <f>VLOOKUP(A392,'Informe 2025'!$1:$1048576,2,FALSE)</f>
        <v>MAYO</v>
      </c>
      <c r="C392" t="s">
        <v>377</v>
      </c>
      <c r="D392" s="20" t="str">
        <f>VLOOKUP(C392,ID!$1:$1048576,4,FALSE)</f>
        <v>103558</v>
      </c>
      <c r="E392" s="20" t="str">
        <f>VLOOKUP(C392,ID!$1:$1048576,3,FALSE)</f>
        <v xml:space="preserve"> CLAUDIA CAROLINA</v>
      </c>
      <c r="F392" s="20" t="str">
        <f>VLOOKUP(C392,ID!$1:$1048576,2,FALSE)</f>
        <v>GUZMAN VASQUEZ</v>
      </c>
      <c r="G392" s="2" t="str">
        <f>VLOOKUP(D392,CORREOS!$A$2:$B$570,2,FALSE)</f>
        <v>CGUZMAN@CL.LUCKIA.COM</v>
      </c>
      <c r="H392" s="24" t="str">
        <f>VLOOKUP(A392,'Informe 2025'!$A$5:$C$164,3,FALSE)</f>
        <v>Difusión Politica de Inclusión</v>
      </c>
      <c r="I392">
        <f>VLOOKUP(H392,'Informe 2025'!$C$6:$M$166,11,FALSE)</f>
        <v>1</v>
      </c>
    </row>
    <row r="393" spans="1:9" x14ac:dyDescent="0.25">
      <c r="A393" s="2">
        <v>28</v>
      </c>
      <c r="B393" t="str">
        <f>VLOOKUP(A393,'Informe 2025'!$1:$1048576,2,FALSE)</f>
        <v>MAYO</v>
      </c>
      <c r="C393" t="s">
        <v>503</v>
      </c>
      <c r="D393" s="20" t="str">
        <f>VLOOKUP(C393,ID!$1:$1048576,4,FALSE)</f>
        <v>101382</v>
      </c>
      <c r="E393" s="20" t="str">
        <f>VLOOKUP(C393,ID!$1:$1048576,3,FALSE)</f>
        <v xml:space="preserve"> ROMINA PATZZY ALEJANDR</v>
      </c>
      <c r="F393" s="20" t="str">
        <f>VLOOKUP(C393,ID!$1:$1048576,2,FALSE)</f>
        <v>SEPULVEDA FLORES</v>
      </c>
      <c r="G393" s="2" t="str">
        <f>VLOOKUP(D393,CORREOS!$A$2:$B$570,2,FALSE)</f>
        <v>ROMINAPATZZYALEJANDRA.SEPULVEDA@CL.LUCKIA.COM</v>
      </c>
      <c r="H393" s="24" t="str">
        <f>VLOOKUP(A393,'Informe 2025'!$A$5:$C$164,3,FALSE)</f>
        <v>Difusión Politica de Inclusión</v>
      </c>
      <c r="I393">
        <f>VLOOKUP(H393,'Informe 2025'!$C$6:$M$166,11,FALSE)</f>
        <v>1</v>
      </c>
    </row>
    <row r="394" spans="1:9" x14ac:dyDescent="0.25">
      <c r="A394" s="2">
        <v>28</v>
      </c>
      <c r="B394" t="str">
        <f>VLOOKUP(A394,'Informe 2025'!$1:$1048576,2,FALSE)</f>
        <v>MAYO</v>
      </c>
      <c r="C394" t="s">
        <v>243</v>
      </c>
      <c r="D394" s="20" t="str">
        <f>VLOOKUP(C394,ID!$1:$1048576,4,FALSE)</f>
        <v>100348</v>
      </c>
      <c r="E394" s="20" t="str">
        <f>VLOOKUP(C394,ID!$1:$1048576,3,FALSE)</f>
        <v xml:space="preserve"> FATIMA JUDITH</v>
      </c>
      <c r="F394" s="20" t="str">
        <f>VLOOKUP(C394,ID!$1:$1048576,2,FALSE)</f>
        <v>AGUIRRE ESPINOZA</v>
      </c>
      <c r="G394" s="2" t="str">
        <f>VLOOKUP(D394,CORREOS!$A$2:$B$570,2,FALSE)</f>
        <v>JUDITH.AGUIRRE@CL.LUCKIA.COM</v>
      </c>
      <c r="H394" s="24" t="str">
        <f>VLOOKUP(A394,'Informe 2025'!$A$5:$C$164,3,FALSE)</f>
        <v>Difusión Politica de Inclusión</v>
      </c>
      <c r="I394">
        <f>VLOOKUP(H394,'Informe 2025'!$C$6:$M$166,11,FALSE)</f>
        <v>1</v>
      </c>
    </row>
    <row r="395" spans="1:9" x14ac:dyDescent="0.25">
      <c r="A395" s="2">
        <v>28</v>
      </c>
      <c r="B395" t="str">
        <f>VLOOKUP(A395,'Informe 2025'!$1:$1048576,2,FALSE)</f>
        <v>MAYO</v>
      </c>
      <c r="C395" t="s">
        <v>479</v>
      </c>
      <c r="D395" s="20" t="str">
        <f>VLOOKUP(C395,ID!$1:$1048576,4,FALSE)</f>
        <v>102803</v>
      </c>
      <c r="E395" s="20" t="str">
        <f>VLOOKUP(C395,ID!$1:$1048576,3,FALSE)</f>
        <v xml:space="preserve"> CATALINA JYO</v>
      </c>
      <c r="F395" s="20" t="str">
        <f>VLOOKUP(C395,ID!$1:$1048576,2,FALSE)</f>
        <v>RIQUELME LOPEZ</v>
      </c>
      <c r="G395" s="2" t="str">
        <f>VLOOKUP(D395,CORREOS!$A$2:$B$570,2,FALSE)</f>
        <v>CRIQUELMEL@CL.LUCKIA.COM</v>
      </c>
      <c r="H395" s="24" t="str">
        <f>VLOOKUP(A395,'Informe 2025'!$A$5:$C$164,3,FALSE)</f>
        <v>Difusión Politica de Inclusión</v>
      </c>
      <c r="I395">
        <f>VLOOKUP(H395,'Informe 2025'!$C$6:$M$166,11,FALSE)</f>
        <v>1</v>
      </c>
    </row>
    <row r="396" spans="1:9" x14ac:dyDescent="0.25">
      <c r="A396" s="2">
        <v>28</v>
      </c>
      <c r="B396" t="str">
        <f>VLOOKUP(A396,'Informe 2025'!$1:$1048576,2,FALSE)</f>
        <v>MAYO</v>
      </c>
      <c r="C396" t="s">
        <v>534</v>
      </c>
      <c r="D396" s="20" t="str">
        <f>VLOOKUP(C396,ID!$1:$1048576,4,FALSE)</f>
        <v>102292</v>
      </c>
      <c r="E396" s="20" t="str">
        <f>VLOOKUP(C396,ID!$1:$1048576,3,FALSE)</f>
        <v xml:space="preserve"> ESKARLETT YUBINZA</v>
      </c>
      <c r="F396" s="20" t="str">
        <f>VLOOKUP(C396,ID!$1:$1048576,2,FALSE)</f>
        <v>ZULETA COLQUE</v>
      </c>
      <c r="G396" s="2" t="str">
        <f>VLOOKUP(D396,CORREOS!$A$2:$B$570,2,FALSE)</f>
        <v>EZCOLQUE@CL.LUCKIA.COM</v>
      </c>
      <c r="H396" s="24" t="str">
        <f>VLOOKUP(A396,'Informe 2025'!$A$5:$C$164,3,FALSE)</f>
        <v>Difusión Politica de Inclusión</v>
      </c>
      <c r="I396">
        <f>VLOOKUP(H396,'Informe 2025'!$C$6:$M$166,11,FALSE)</f>
        <v>1</v>
      </c>
    </row>
    <row r="397" spans="1:9" x14ac:dyDescent="0.25">
      <c r="A397" s="2">
        <v>28</v>
      </c>
      <c r="B397" t="str">
        <f>VLOOKUP(A397,'Informe 2025'!$1:$1048576,2,FALSE)</f>
        <v>MAYO</v>
      </c>
      <c r="C397" t="s">
        <v>1911</v>
      </c>
      <c r="D397" s="20" t="str">
        <f>VLOOKUP(C397,ID!$1:$1048576,4,FALSE)</f>
        <v>103053</v>
      </c>
      <c r="E397" s="20" t="str">
        <f>VLOOKUP(C397,ID!$1:$1048576,3,FALSE)</f>
        <v xml:space="preserve"> VALENTINA</v>
      </c>
      <c r="F397" s="20" t="str">
        <f>VLOOKUP(C397,ID!$1:$1048576,2,FALSE)</f>
        <v>AGUILAR FERNANDEZ</v>
      </c>
      <c r="G397" s="2" t="str">
        <f>VLOOKUP(D397,CORREOS!$A$2:$B$570,2,FALSE)</f>
        <v>VAFERNANDEZ@CL.LUCKIA.COM</v>
      </c>
      <c r="H397" s="24" t="str">
        <f>VLOOKUP(A397,'Informe 2025'!$A$5:$C$164,3,FALSE)</f>
        <v>Difusión Politica de Inclusión</v>
      </c>
      <c r="I397">
        <f>VLOOKUP(H397,'Informe 2025'!$C$6:$M$166,11,FALSE)</f>
        <v>1</v>
      </c>
    </row>
    <row r="398" spans="1:9" x14ac:dyDescent="0.25">
      <c r="A398" s="2">
        <v>28</v>
      </c>
      <c r="B398" t="str">
        <f>VLOOKUP(A398,'Informe 2025'!$1:$1048576,2,FALSE)</f>
        <v>MAYO</v>
      </c>
      <c r="C398" t="s">
        <v>339</v>
      </c>
      <c r="D398" s="20" t="str">
        <f>VLOOKUP(C398,ID!$1:$1048576,4,FALSE)</f>
        <v>101938</v>
      </c>
      <c r="E398" s="20" t="str">
        <f>VLOOKUP(C398,ID!$1:$1048576,3,FALSE)</f>
        <v xml:space="preserve"> LORETO ANDREA</v>
      </c>
      <c r="F398" s="20" t="str">
        <f>VLOOKUP(C398,ID!$1:$1048576,2,FALSE)</f>
        <v>FERNANDEZ GONZALEZ</v>
      </c>
      <c r="G398" s="2" t="str">
        <f>VLOOKUP(D398,CORREOS!$A$2:$B$570,2,FALSE)</f>
        <v>LFGONZALEZ@CL.LUCKIA.COM</v>
      </c>
      <c r="H398" s="24" t="str">
        <f>VLOOKUP(A398,'Informe 2025'!$A$5:$C$164,3,FALSE)</f>
        <v>Difusión Politica de Inclusión</v>
      </c>
      <c r="I398">
        <f>VLOOKUP(H398,'Informe 2025'!$C$6:$M$166,11,FALSE)</f>
        <v>1</v>
      </c>
    </row>
    <row r="399" spans="1:9" x14ac:dyDescent="0.25">
      <c r="A399" s="2">
        <v>28</v>
      </c>
      <c r="B399" t="str">
        <f>VLOOKUP(A399,'Informe 2025'!$1:$1048576,2,FALSE)</f>
        <v>MAYO</v>
      </c>
      <c r="C399" t="s">
        <v>497</v>
      </c>
      <c r="D399" s="20" t="str">
        <f>VLOOKUP(C399,ID!$1:$1048576,4,FALSE)</f>
        <v>101379</v>
      </c>
      <c r="E399" s="20" t="str">
        <f>VLOOKUP(C399,ID!$1:$1048576,3,FALSE)</f>
        <v xml:space="preserve"> FABRIZZIO ANIBAL DUVAN</v>
      </c>
      <c r="F399" s="20" t="str">
        <f>VLOOKUP(C399,ID!$1:$1048576,2,FALSE)</f>
        <v>SALDAÑO CHAMORRO</v>
      </c>
      <c r="G399" s="2" t="str">
        <f>VLOOKUP(D399,CORREOS!$A$2:$B$570,2,FALSE)</f>
        <v>FABRIZZIOANIBALDUVAN.SALDANO@CL.LUCKIA.COM</v>
      </c>
      <c r="H399" s="24" t="str">
        <f>VLOOKUP(A399,'Informe 2025'!$A$5:$C$164,3,FALSE)</f>
        <v>Difusión Politica de Inclusión</v>
      </c>
      <c r="I399">
        <f>VLOOKUP(H399,'Informe 2025'!$C$6:$M$166,11,FALSE)</f>
        <v>1</v>
      </c>
    </row>
    <row r="400" spans="1:9" x14ac:dyDescent="0.25">
      <c r="A400" s="2">
        <v>28</v>
      </c>
      <c r="B400" t="str">
        <f>VLOOKUP(A400,'Informe 2025'!$1:$1048576,2,FALSE)</f>
        <v>MAYO</v>
      </c>
      <c r="C400" t="s">
        <v>395</v>
      </c>
      <c r="D400" s="20" t="str">
        <f>VLOOKUP(C400,ID!$1:$1048576,4,FALSE)</f>
        <v>102063</v>
      </c>
      <c r="E400" s="20" t="str">
        <f>VLOOKUP(C400,ID!$1:$1048576,3,FALSE)</f>
        <v xml:space="preserve"> MICHELLE ANNETTE</v>
      </c>
      <c r="F400" s="20" t="str">
        <f>VLOOKUP(C400,ID!$1:$1048576,2,FALSE)</f>
        <v>LEAL LEYTON</v>
      </c>
      <c r="G400" s="2" t="str">
        <f>VLOOKUP(D400,CORREOS!$A$2:$B$570,2,FALSE)</f>
        <v>MLEAL@CL.LUCKIA.COM</v>
      </c>
      <c r="H400" s="24" t="str">
        <f>VLOOKUP(A400,'Informe 2025'!$A$5:$C$164,3,FALSE)</f>
        <v>Difusión Politica de Inclusión</v>
      </c>
      <c r="I400">
        <f>VLOOKUP(H400,'Informe 2025'!$C$6:$M$166,11,FALSE)</f>
        <v>1</v>
      </c>
    </row>
    <row r="401" spans="1:9" x14ac:dyDescent="0.25">
      <c r="A401" s="2">
        <v>28</v>
      </c>
      <c r="B401" t="str">
        <f>VLOOKUP(A401,'Informe 2025'!$1:$1048576,2,FALSE)</f>
        <v>MAYO</v>
      </c>
      <c r="C401" t="s">
        <v>1881</v>
      </c>
      <c r="D401" s="20" t="str">
        <f>VLOOKUP(C401,ID!$1:$1048576,4,FALSE)</f>
        <v>102191</v>
      </c>
      <c r="E401" s="20" t="str">
        <f>VLOOKUP(C401,ID!$1:$1048576,3,FALSE)</f>
        <v xml:space="preserve"> NICOLE STEPHANIE</v>
      </c>
      <c r="F401" s="20" t="str">
        <f>VLOOKUP(C401,ID!$1:$1048576,2,FALSE)</f>
        <v>CALDERON LAZO</v>
      </c>
      <c r="G401" s="2" t="str">
        <f>VLOOKUP(D401,CORREOS!$A$2:$B$570,2,FALSE)</f>
        <v>NCALDERON@CL.LUCKIA.COM</v>
      </c>
      <c r="H401" s="24" t="str">
        <f>VLOOKUP(A401,'Informe 2025'!$A$5:$C$164,3,FALSE)</f>
        <v>Difusión Politica de Inclusión</v>
      </c>
      <c r="I401">
        <f>VLOOKUP(H401,'Informe 2025'!$C$6:$M$166,11,FALSE)</f>
        <v>1</v>
      </c>
    </row>
    <row r="402" spans="1:9" x14ac:dyDescent="0.25">
      <c r="A402" s="2">
        <v>28</v>
      </c>
      <c r="B402" t="str">
        <f>VLOOKUP(A402,'Informe 2025'!$1:$1048576,2,FALSE)</f>
        <v>MAYO</v>
      </c>
      <c r="C402" t="s">
        <v>292</v>
      </c>
      <c r="D402" s="20" t="str">
        <f>VLOOKUP(C402,ID!$1:$1048576,4,FALSE)</f>
        <v>101806</v>
      </c>
      <c r="E402" s="20" t="str">
        <f>VLOOKUP(C402,ID!$1:$1048576,3,FALSE)</f>
        <v xml:space="preserve"> MAURICIO FRANCISCO</v>
      </c>
      <c r="F402" s="20" t="str">
        <f>VLOOKUP(C402,ID!$1:$1048576,2,FALSE)</f>
        <v>CARRASCO FUENTES</v>
      </c>
      <c r="G402" s="2" t="str">
        <f>VLOOKUP(D402,CORREOS!$A$2:$B$570,2,FALSE)</f>
        <v>MCFUENTES@ANTAYHOTELES.CL</v>
      </c>
      <c r="H402" s="24" t="str">
        <f>VLOOKUP(A402,'Informe 2025'!$A$5:$C$164,3,FALSE)</f>
        <v>Difusión Politica de Inclusión</v>
      </c>
      <c r="I402">
        <f>VLOOKUP(H402,'Informe 2025'!$C$6:$M$166,11,FALSE)</f>
        <v>1</v>
      </c>
    </row>
    <row r="403" spans="1:9" x14ac:dyDescent="0.25">
      <c r="A403" s="2">
        <v>28</v>
      </c>
      <c r="B403" t="str">
        <f>VLOOKUP(A403,'Informe 2025'!$1:$1048576,2,FALSE)</f>
        <v>MAYO</v>
      </c>
      <c r="C403" t="s">
        <v>314</v>
      </c>
      <c r="D403" s="20" t="str">
        <f>VLOOKUP(C403,ID!$1:$1048576,4,FALSE)</f>
        <v>102849</v>
      </c>
      <c r="E403" s="20" t="str">
        <f>VLOOKUP(C403,ID!$1:$1048576,3,FALSE)</f>
        <v xml:space="preserve"> CRISTOBAL HUMBERTO</v>
      </c>
      <c r="F403" s="20" t="str">
        <f>VLOOKUP(C403,ID!$1:$1048576,2,FALSE)</f>
        <v>CONDORI CARVAJAL</v>
      </c>
      <c r="G403" s="2" t="str">
        <f>VLOOKUP(D403,CORREOS!$A$2:$B$570,2,FALSE)</f>
        <v>CCONDORI@ANTAYHOTELES.CL</v>
      </c>
      <c r="H403" s="24" t="str">
        <f>VLOOKUP(A403,'Informe 2025'!$A$5:$C$164,3,FALSE)</f>
        <v>Difusión Politica de Inclusión</v>
      </c>
      <c r="I403">
        <f>VLOOKUP(H403,'Informe 2025'!$C$6:$M$166,11,FALSE)</f>
        <v>1</v>
      </c>
    </row>
    <row r="404" spans="1:9" x14ac:dyDescent="0.25">
      <c r="A404" s="2">
        <v>28</v>
      </c>
      <c r="B404" t="str">
        <f>VLOOKUP(A404,'Informe 2025'!$1:$1048576,2,FALSE)</f>
        <v>MAYO</v>
      </c>
      <c r="C404" t="s">
        <v>274</v>
      </c>
      <c r="D404" s="20" t="str">
        <f>VLOOKUP(C404,ID!$1:$1048576,4,FALSE)</f>
        <v>103084</v>
      </c>
      <c r="E404" s="20" t="str">
        <f>VLOOKUP(C404,ID!$1:$1048576,3,FALSE)</f>
        <v xml:space="preserve"> BASTIAN ANDRES</v>
      </c>
      <c r="F404" s="20" t="str">
        <f>VLOOKUP(C404,ID!$1:$1048576,2,FALSE)</f>
        <v>ARRIAGADA PALTA</v>
      </c>
      <c r="G404" s="2" t="str">
        <f>VLOOKUP(D404,CORREOS!$A$2:$B$570,2,FALSE)</f>
        <v>BARRIAGADA@ANTAYHOTELES.CL</v>
      </c>
      <c r="H404" s="24" t="str">
        <f>VLOOKUP(A404,'Informe 2025'!$A$5:$C$164,3,FALSE)</f>
        <v>Difusión Politica de Inclusión</v>
      </c>
      <c r="I404">
        <f>VLOOKUP(H404,'Informe 2025'!$C$6:$M$166,11,FALSE)</f>
        <v>1</v>
      </c>
    </row>
    <row r="405" spans="1:9" x14ac:dyDescent="0.25">
      <c r="A405" s="2">
        <v>28</v>
      </c>
      <c r="B405" t="str">
        <f>VLOOKUP(A405,'Informe 2025'!$1:$1048576,2,FALSE)</f>
        <v>MAYO</v>
      </c>
      <c r="C405" t="s">
        <v>491</v>
      </c>
      <c r="D405" s="20" t="str">
        <f>VLOOKUP(C405,ID!$1:$1048576,4,FALSE)</f>
        <v>102893</v>
      </c>
      <c r="E405" s="20" t="str">
        <f>VLOOKUP(C405,ID!$1:$1048576,3,FALSE)</f>
        <v xml:space="preserve"> YEREMI ALAN</v>
      </c>
      <c r="F405" s="20" t="str">
        <f>VLOOKUP(C405,ID!$1:$1048576,2,FALSE)</f>
        <v>ROJAS MORGADO</v>
      </c>
      <c r="G405" s="2" t="str">
        <f>VLOOKUP(D405,CORREOS!$A$2:$B$570,2,FALSE)</f>
        <v>YRMORGADO@CL.LUCKIA.COM</v>
      </c>
      <c r="H405" s="24" t="str">
        <f>VLOOKUP(A405,'Informe 2025'!$A$5:$C$164,3,FALSE)</f>
        <v>Difusión Politica de Inclusión</v>
      </c>
      <c r="I405">
        <f>VLOOKUP(H405,'Informe 2025'!$C$6:$M$166,11,FALSE)</f>
        <v>1</v>
      </c>
    </row>
    <row r="406" spans="1:9" x14ac:dyDescent="0.25">
      <c r="A406" s="2">
        <v>28</v>
      </c>
      <c r="B406" t="str">
        <f>VLOOKUP(A406,'Informe 2025'!$1:$1048576,2,FALSE)</f>
        <v>MAYO</v>
      </c>
      <c r="C406" t="s">
        <v>331</v>
      </c>
      <c r="D406" s="20" t="str">
        <f>VLOOKUP(C406,ID!$1:$1048576,4,FALSE)</f>
        <v>102895</v>
      </c>
      <c r="E406" s="20" t="str">
        <f>VLOOKUP(C406,ID!$1:$1048576,3,FALSE)</f>
        <v xml:space="preserve"> LILIAN ALEXANDRA</v>
      </c>
      <c r="F406" s="20" t="str">
        <f>VLOOKUP(C406,ID!$1:$1048576,2,FALSE)</f>
        <v>DELZO ALTAMIRANO</v>
      </c>
      <c r="G406" s="2" t="str">
        <f>VLOOKUP(D406,CORREOS!$A$2:$B$570,2,FALSE)</f>
        <v>LDELZO@CL.LUCKIA.COM</v>
      </c>
      <c r="H406" s="24" t="str">
        <f>VLOOKUP(A406,'Informe 2025'!$A$5:$C$164,3,FALSE)</f>
        <v>Difusión Politica de Inclusión</v>
      </c>
      <c r="I406">
        <f>VLOOKUP(H406,'Informe 2025'!$C$6:$M$166,11,FALSE)</f>
        <v>1</v>
      </c>
    </row>
    <row r="407" spans="1:9" x14ac:dyDescent="0.25">
      <c r="A407" s="2">
        <v>28</v>
      </c>
      <c r="B407" t="str">
        <f>VLOOKUP(A407,'Informe 2025'!$1:$1048576,2,FALSE)</f>
        <v>MAYO</v>
      </c>
      <c r="C407" t="s">
        <v>498</v>
      </c>
      <c r="D407" s="20" t="str">
        <f>VLOOKUP(C407,ID!$1:$1048576,4,FALSE)</f>
        <v>101825</v>
      </c>
      <c r="E407" s="20" t="str">
        <f>VLOOKUP(C407,ID!$1:$1048576,3,FALSE)</f>
        <v xml:space="preserve"> GISSELA ANDREA</v>
      </c>
      <c r="F407" s="20" t="str">
        <f>VLOOKUP(C407,ID!$1:$1048576,2,FALSE)</f>
        <v>SANCHEZ QUISPE</v>
      </c>
      <c r="G407" s="2" t="str">
        <f>VLOOKUP(D407,CORREOS!$A$2:$B$570,2,FALSE)</f>
        <v>GSQUISPE@CL.LUCKIA.COM</v>
      </c>
      <c r="H407" s="24" t="str">
        <f>VLOOKUP(A407,'Informe 2025'!$A$5:$C$164,3,FALSE)</f>
        <v>Difusión Politica de Inclusión</v>
      </c>
      <c r="I407">
        <f>VLOOKUP(H407,'Informe 2025'!$C$6:$M$166,11,FALSE)</f>
        <v>1</v>
      </c>
    </row>
    <row r="408" spans="1:9" x14ac:dyDescent="0.25">
      <c r="A408" s="2">
        <v>28</v>
      </c>
      <c r="B408" t="str">
        <f>VLOOKUP(A408,'Informe 2025'!$1:$1048576,2,FALSE)</f>
        <v>MAYO</v>
      </c>
      <c r="C408" t="s">
        <v>407</v>
      </c>
      <c r="D408" s="20" t="str">
        <f>VLOOKUP(C408,ID!$1:$1048576,4,FALSE)</f>
        <v>101826</v>
      </c>
      <c r="E408" s="20" t="str">
        <f>VLOOKUP(C408,ID!$1:$1048576,3,FALSE)</f>
        <v xml:space="preserve"> NARELA ALIZON JUDYT</v>
      </c>
      <c r="F408" s="20" t="str">
        <f>VLOOKUP(C408,ID!$1:$1048576,2,FALSE)</f>
        <v>MARINO ALARO</v>
      </c>
      <c r="G408" s="2" t="str">
        <f>VLOOKUP(D408,CORREOS!$A$2:$B$570,2,FALSE)</f>
        <v>NMARINO@CL.LUCKIA.COM</v>
      </c>
      <c r="H408" s="24" t="str">
        <f>VLOOKUP(A408,'Informe 2025'!$A$5:$C$164,3,FALSE)</f>
        <v>Difusión Politica de Inclusión</v>
      </c>
      <c r="I408">
        <f>VLOOKUP(H408,'Informe 2025'!$C$6:$M$166,11,FALSE)</f>
        <v>1</v>
      </c>
    </row>
    <row r="409" spans="1:9" x14ac:dyDescent="0.25">
      <c r="A409" s="2">
        <v>28</v>
      </c>
      <c r="B409" t="str">
        <f>VLOOKUP(A409,'Informe 2025'!$1:$1048576,2,FALSE)</f>
        <v>MAYO</v>
      </c>
      <c r="C409" t="s">
        <v>371</v>
      </c>
      <c r="D409" s="20" t="str">
        <f>VLOOKUP(C409,ID!$1:$1048576,4,FALSE)</f>
        <v>101456</v>
      </c>
      <c r="E409" s="20" t="str">
        <f>VLOOKUP(C409,ID!$1:$1048576,3,FALSE)</f>
        <v xml:space="preserve"> MARIA JOSE</v>
      </c>
      <c r="F409" s="20" t="str">
        <f>VLOOKUP(C409,ID!$1:$1048576,2,FALSE)</f>
        <v>GONZALEZ MEDINA</v>
      </c>
      <c r="G409" s="2" t="str">
        <f>VLOOKUP(D409,CORREOS!$A$2:$B$570,2,FALSE)</f>
        <v>MGMEDINA@CL.LUCKIA.COM</v>
      </c>
      <c r="H409" s="24" t="str">
        <f>VLOOKUP(A409,'Informe 2025'!$A$5:$C$164,3,FALSE)</f>
        <v>Difusión Politica de Inclusión</v>
      </c>
      <c r="I409">
        <f>VLOOKUP(H409,'Informe 2025'!$C$6:$M$166,11,FALSE)</f>
        <v>1</v>
      </c>
    </row>
    <row r="410" spans="1:9" x14ac:dyDescent="0.25">
      <c r="A410" s="2">
        <v>28</v>
      </c>
      <c r="B410" t="str">
        <f>VLOOKUP(A410,'Informe 2025'!$1:$1048576,2,FALSE)</f>
        <v>MAYO</v>
      </c>
      <c r="C410" t="s">
        <v>328</v>
      </c>
      <c r="D410" s="20" t="str">
        <f>VLOOKUP(C410,ID!$1:$1048576,4,FALSE)</f>
        <v>101398</v>
      </c>
      <c r="E410" s="20" t="str">
        <f>VLOOKUP(C410,ID!$1:$1048576,3,FALSE)</f>
        <v xml:space="preserve"> OLGA DEL CARMEN</v>
      </c>
      <c r="F410" s="20" t="str">
        <f>VLOOKUP(C410,ID!$1:$1048576,2,FALSE)</f>
        <v>DELGADO BUSTOS</v>
      </c>
      <c r="G410" s="2" t="str">
        <f>VLOOKUP(D410,CORREOS!$A$2:$B$570,2,FALSE)</f>
        <v>OLGADELCARMEN.DELGADO@CL.LUCKIA.COM</v>
      </c>
      <c r="H410" s="24" t="str">
        <f>VLOOKUP(A410,'Informe 2025'!$A$5:$C$164,3,FALSE)</f>
        <v>Difusión Politica de Inclusión</v>
      </c>
      <c r="I410">
        <f>VLOOKUP(H410,'Informe 2025'!$C$6:$M$166,11,FALSE)</f>
        <v>1</v>
      </c>
    </row>
    <row r="411" spans="1:9" x14ac:dyDescent="0.25">
      <c r="A411" s="2">
        <v>28</v>
      </c>
      <c r="B411" t="str">
        <f>VLOOKUP(A411,'Informe 2025'!$1:$1048576,2,FALSE)</f>
        <v>MAYO</v>
      </c>
      <c r="C411" t="s">
        <v>460</v>
      </c>
      <c r="D411" s="20" t="str">
        <f>VLOOKUP(C411,ID!$1:$1048576,4,FALSE)</f>
        <v>101402</v>
      </c>
      <c r="E411" s="20" t="str">
        <f>VLOOKUP(C411,ID!$1:$1048576,3,FALSE)</f>
        <v xml:space="preserve"> ALVARO ANTONIO</v>
      </c>
      <c r="F411" s="20" t="str">
        <f>VLOOKUP(C411,ID!$1:$1048576,2,FALSE)</f>
        <v>PEREZ SALAZAR</v>
      </c>
      <c r="G411" s="2" t="str">
        <f>VLOOKUP(D411,CORREOS!$A$2:$B$570,2,FALSE)</f>
        <v>ALVAROANTONIO.PEREZ@CL.LUCKIA.COM</v>
      </c>
      <c r="H411" s="24" t="str">
        <f>VLOOKUP(A411,'Informe 2025'!$A$5:$C$164,3,FALSE)</f>
        <v>Difusión Politica de Inclusión</v>
      </c>
      <c r="I411">
        <f>VLOOKUP(H411,'Informe 2025'!$C$6:$M$166,11,FALSE)</f>
        <v>1</v>
      </c>
    </row>
    <row r="412" spans="1:9" x14ac:dyDescent="0.25">
      <c r="A412" s="2">
        <v>28</v>
      </c>
      <c r="B412" t="str">
        <f>VLOOKUP(A412,'Informe 2025'!$1:$1048576,2,FALSE)</f>
        <v>MAYO</v>
      </c>
      <c r="C412" t="s">
        <v>386</v>
      </c>
      <c r="D412" s="20" t="str">
        <f>VLOOKUP(C412,ID!$1:$1048576,4,FALSE)</f>
        <v>101375</v>
      </c>
      <c r="E412" s="20" t="str">
        <f>VLOOKUP(C412,ID!$1:$1048576,3,FALSE)</f>
        <v xml:space="preserve"> ALLIZON DANIELA</v>
      </c>
      <c r="F412" s="20" t="str">
        <f>VLOOKUP(C412,ID!$1:$1048576,2,FALSE)</f>
        <v>HUERTA VASQUEZ</v>
      </c>
      <c r="G412" s="2" t="str">
        <f>VLOOKUP(D412,CORREOS!$A$2:$B$570,2,FALSE)</f>
        <v>DHUERTA@CL.LUCKIA.COM</v>
      </c>
      <c r="H412" s="24" t="str">
        <f>VLOOKUP(A412,'Informe 2025'!$A$5:$C$164,3,FALSE)</f>
        <v>Difusión Politica de Inclusión</v>
      </c>
      <c r="I412">
        <f>VLOOKUP(H412,'Informe 2025'!$C$6:$M$166,11,FALSE)</f>
        <v>1</v>
      </c>
    </row>
    <row r="413" spans="1:9" x14ac:dyDescent="0.25">
      <c r="A413" s="2">
        <v>28</v>
      </c>
      <c r="B413" t="str">
        <f>VLOOKUP(A413,'Informe 2025'!$1:$1048576,2,FALSE)</f>
        <v>MAYO</v>
      </c>
      <c r="C413" t="s">
        <v>454</v>
      </c>
      <c r="D413" s="20" t="str">
        <f>VLOOKUP(C413,ID!$1:$1048576,4,FALSE)</f>
        <v>101586</v>
      </c>
      <c r="E413" s="20" t="str">
        <f>VLOOKUP(C413,ID!$1:$1048576,3,FALSE)</f>
        <v xml:space="preserve"> FERNANDO ALFREDO</v>
      </c>
      <c r="F413" s="20" t="str">
        <f>VLOOKUP(C413,ID!$1:$1048576,2,FALSE)</f>
        <v>PASTEN ROJAS</v>
      </c>
      <c r="G413" s="2" t="str">
        <f>VLOOKUP(D413,CORREOS!$A$2:$B$570,2,FALSE)</f>
        <v>FERNANDOALFREDO.PASTEN@ANTAYHOTELES.CL</v>
      </c>
      <c r="H413" s="24" t="str">
        <f>VLOOKUP(A413,'Informe 2025'!$A$5:$C$164,3,FALSE)</f>
        <v>Difusión Politica de Inclusión</v>
      </c>
      <c r="I413">
        <f>VLOOKUP(H413,'Informe 2025'!$C$6:$M$166,11,FALSE)</f>
        <v>1</v>
      </c>
    </row>
    <row r="414" spans="1:9" x14ac:dyDescent="0.25">
      <c r="A414" s="2">
        <v>28</v>
      </c>
      <c r="B414" t="str">
        <f>VLOOKUP(A414,'Informe 2025'!$1:$1048576,2,FALSE)</f>
        <v>MAYO</v>
      </c>
      <c r="C414" t="s">
        <v>262</v>
      </c>
      <c r="D414" s="20" t="str">
        <f>VLOOKUP(C414,ID!$1:$1048576,4,FALSE)</f>
        <v>101555</v>
      </c>
      <c r="E414" s="20" t="str">
        <f>VLOOKUP(C414,ID!$1:$1048576,3,FALSE)</f>
        <v xml:space="preserve"> VICTORIA MACARENA</v>
      </c>
      <c r="F414" s="20" t="str">
        <f>VLOOKUP(C414,ID!$1:$1048576,2,FALSE)</f>
        <v>ARANIBAR BRIONES</v>
      </c>
      <c r="G414" s="2" t="str">
        <f>VLOOKUP(D414,CORREOS!$A$2:$B$570,2,FALSE)</f>
        <v>VICTORIAMACARENA.ARANIBAR@CL.LUCKIA.COM</v>
      </c>
      <c r="H414" s="24" t="str">
        <f>VLOOKUP(A414,'Informe 2025'!$A$5:$C$164,3,FALSE)</f>
        <v>Difusión Politica de Inclusión</v>
      </c>
      <c r="I414">
        <f>VLOOKUP(H414,'Informe 2025'!$C$6:$M$166,11,FALSE)</f>
        <v>1</v>
      </c>
    </row>
    <row r="415" spans="1:9" x14ac:dyDescent="0.25">
      <c r="A415" s="2">
        <v>28</v>
      </c>
      <c r="B415" t="str">
        <f>VLOOKUP(A415,'Informe 2025'!$1:$1048576,2,FALSE)</f>
        <v>MAYO</v>
      </c>
      <c r="C415" t="s">
        <v>437</v>
      </c>
      <c r="D415" s="20" t="str">
        <f>VLOOKUP(C415,ID!$1:$1048576,4,FALSE)</f>
        <v>102382</v>
      </c>
      <c r="E415" s="20" t="str">
        <f>VLOOKUP(C415,ID!$1:$1048576,3,FALSE)</f>
        <v xml:space="preserve"> NATALIA ISABEL</v>
      </c>
      <c r="F415" s="20" t="str">
        <f>VLOOKUP(C415,ID!$1:$1048576,2,FALSE)</f>
        <v>NOVOA AGUILERA</v>
      </c>
      <c r="G415" s="2" t="str">
        <f>VLOOKUP(D415,CORREOS!$A$2:$B$570,2,FALSE)</f>
        <v>NNOVOA@ANTAYHOTELES.CL</v>
      </c>
      <c r="H415" s="24" t="str">
        <f>VLOOKUP(A415,'Informe 2025'!$A$5:$C$164,3,FALSE)</f>
        <v>Difusión Politica de Inclusión</v>
      </c>
      <c r="I415">
        <f>VLOOKUP(H415,'Informe 2025'!$C$6:$M$166,11,FALSE)</f>
        <v>1</v>
      </c>
    </row>
    <row r="416" spans="1:9" x14ac:dyDescent="0.25">
      <c r="A416" s="2">
        <v>28</v>
      </c>
      <c r="B416" t="str">
        <f>VLOOKUP(A416,'Informe 2025'!$1:$1048576,2,FALSE)</f>
        <v>MAYO</v>
      </c>
      <c r="C416" t="s">
        <v>351</v>
      </c>
      <c r="D416" s="20" t="str">
        <f>VLOOKUP(C416,ID!$1:$1048576,4,FALSE)</f>
        <v>103260</v>
      </c>
      <c r="E416" s="20" t="str">
        <f>VLOOKUP(C416,ID!$1:$1048576,3,FALSE)</f>
        <v xml:space="preserve"> JUAN MANUEL</v>
      </c>
      <c r="F416" s="20" t="str">
        <f>VLOOKUP(C416,ID!$1:$1048576,2,FALSE)</f>
        <v>GALLARDO MARIN</v>
      </c>
      <c r="G416" s="2" t="str">
        <f>VLOOKUP(D416,CORREOS!$A$2:$B$570,2,FALSE)</f>
        <v>JGMARIN@CL.LUCKIA.COM</v>
      </c>
      <c r="H416" s="24" t="str">
        <f>VLOOKUP(A416,'Informe 2025'!$A$5:$C$164,3,FALSE)</f>
        <v>Difusión Politica de Inclusión</v>
      </c>
      <c r="I416">
        <f>VLOOKUP(H416,'Informe 2025'!$C$6:$M$166,11,FALSE)</f>
        <v>1</v>
      </c>
    </row>
    <row r="417" spans="1:9" x14ac:dyDescent="0.25">
      <c r="A417" s="2">
        <v>28</v>
      </c>
      <c r="B417" t="str">
        <f>VLOOKUP(A417,'Informe 2025'!$1:$1048576,2,FALSE)</f>
        <v>MAYO</v>
      </c>
      <c r="C417" t="s">
        <v>349</v>
      </c>
      <c r="D417" s="20" t="str">
        <f>VLOOKUP(C417,ID!$1:$1048576,4,FALSE)</f>
        <v>101666</v>
      </c>
      <c r="E417" s="20" t="str">
        <f>VLOOKUP(C417,ID!$1:$1048576,3,FALSE)</f>
        <v xml:space="preserve"> VAITIARE FERNANDA</v>
      </c>
      <c r="F417" s="20" t="str">
        <f>VLOOKUP(C417,ID!$1:$1048576,2,FALSE)</f>
        <v>FUENTES BORQUEZ</v>
      </c>
      <c r="G417" s="2" t="str">
        <f>VLOOKUP(D417,CORREOS!$A$2:$B$570,2,FALSE)</f>
        <v>VAITIAREFERNANDA.FUENTES@CL.LUCKIA.COM</v>
      </c>
      <c r="H417" s="24" t="str">
        <f>VLOOKUP(A417,'Informe 2025'!$A$5:$C$164,3,FALSE)</f>
        <v>Difusión Politica de Inclusión</v>
      </c>
      <c r="I417">
        <f>VLOOKUP(H417,'Informe 2025'!$C$6:$M$166,11,FALSE)</f>
        <v>1</v>
      </c>
    </row>
    <row r="418" spans="1:9" x14ac:dyDescent="0.25">
      <c r="A418" s="2">
        <v>29</v>
      </c>
      <c r="B418" t="str">
        <f>VLOOKUP(A418,'Informe 2025'!$1:$1048576,2,FALSE)</f>
        <v>MAYO</v>
      </c>
      <c r="C418" t="s">
        <v>1851</v>
      </c>
      <c r="D418" s="20" t="str">
        <f>VLOOKUP(C418,ID!$1:$1048576,4,FALSE)</f>
        <v>103895</v>
      </c>
      <c r="E418" s="20" t="str">
        <f>VLOOKUP(C418,ID!$1:$1048576,3,FALSE)</f>
        <v xml:space="preserve"> VICENTE ALONSO</v>
      </c>
      <c r="F418" s="20" t="str">
        <f>VLOOKUP(C418,ID!$1:$1048576,2,FALSE)</f>
        <v>ZUMARAN JORQUERA</v>
      </c>
      <c r="G418" s="2" t="str">
        <f>VLOOKUP(D418,CORREOS!$A$2:$B$570,2,FALSE)</f>
        <v>VZUMARAN@ANTAYHOTELES.CL</v>
      </c>
      <c r="H418" s="24" t="str">
        <f>VLOOKUP(A418,'Informe 2025'!$A$5:$C$164,3,FALSE)</f>
        <v>Introduccion al mundo del café</v>
      </c>
      <c r="I418">
        <f>VLOOKUP(H418,'Informe 2025'!$C$6:$M$166,11,FALSE)</f>
        <v>1</v>
      </c>
    </row>
    <row r="419" spans="1:9" x14ac:dyDescent="0.25">
      <c r="A419" s="2">
        <v>29</v>
      </c>
      <c r="B419" t="str">
        <f>VLOOKUP(A419,'Informe 2025'!$1:$1048576,2,FALSE)</f>
        <v>MAYO</v>
      </c>
      <c r="C419" t="s">
        <v>1649</v>
      </c>
      <c r="D419" s="20" t="str">
        <f>VLOOKUP(C419,ID!$1:$1048576,4,FALSE)</f>
        <v>103963</v>
      </c>
      <c r="E419" s="20" t="str">
        <f>VLOOKUP(C419,ID!$1:$1048576,3,FALSE)</f>
        <v xml:space="preserve"> YEREZIM DIANA</v>
      </c>
      <c r="F419" s="20" t="str">
        <f>VLOOKUP(C419,ID!$1:$1048576,2,FALSE)</f>
        <v>JIMENEZ HIDALGO</v>
      </c>
      <c r="G419" s="2" t="str">
        <f>VLOOKUP(D419,CORREOS!$A$2:$B$570,2,FALSE)</f>
        <v>YHURTADO@antayhoteles.cl</v>
      </c>
      <c r="H419" s="24" t="str">
        <f>VLOOKUP(A419,'Informe 2025'!$A$5:$C$164,3,FALSE)</f>
        <v>Introduccion al mundo del café</v>
      </c>
      <c r="I419">
        <f>VLOOKUP(H419,'Informe 2025'!$C$6:$M$166,11,FALSE)</f>
        <v>1</v>
      </c>
    </row>
    <row r="420" spans="1:9" x14ac:dyDescent="0.25">
      <c r="A420" s="2">
        <v>29</v>
      </c>
      <c r="B420" t="str">
        <f>VLOOKUP(A420,'Informe 2025'!$1:$1048576,2,FALSE)</f>
        <v>MAYO</v>
      </c>
      <c r="C420" t="s">
        <v>267</v>
      </c>
      <c r="D420" s="20" t="str">
        <f>VLOOKUP(C420,ID!$1:$1048576,4,FALSE)</f>
        <v>103457</v>
      </c>
      <c r="E420" s="20" t="str">
        <f>VLOOKUP(C420,ID!$1:$1048576,3,FALSE)</f>
        <v xml:space="preserve"> MARCELO ORLANDO</v>
      </c>
      <c r="F420" s="20" t="str">
        <f>VLOOKUP(C420,ID!$1:$1048576,2,FALSE)</f>
        <v>ARELLANO TARQUI</v>
      </c>
      <c r="G420" s="2" t="str">
        <f>VLOOKUP(D420,CORREOS!$A$2:$B$570,2,FALSE)</f>
        <v>MARELLANO@ANTAYHOTELES.CL</v>
      </c>
      <c r="H420" s="24" t="str">
        <f>VLOOKUP(A420,'Informe 2025'!$A$5:$C$164,3,FALSE)</f>
        <v>Introduccion al mundo del café</v>
      </c>
      <c r="I420">
        <f>VLOOKUP(H420,'Informe 2025'!$C$6:$M$166,11,FALSE)</f>
        <v>1</v>
      </c>
    </row>
    <row r="421" spans="1:9" x14ac:dyDescent="0.25">
      <c r="A421" s="2">
        <v>29</v>
      </c>
      <c r="B421" t="str">
        <f>VLOOKUP(A421,'Informe 2025'!$1:$1048576,2,FALSE)</f>
        <v>MAYO</v>
      </c>
      <c r="C421" t="s">
        <v>514</v>
      </c>
      <c r="D421" s="20" t="str">
        <f>VLOOKUP(C421,ID!$1:$1048576,4,FALSE)</f>
        <v>101104</v>
      </c>
      <c r="E421" s="20" t="str">
        <f>VLOOKUP(C421,ID!$1:$1048576,3,FALSE)</f>
        <v xml:space="preserve"> LEANDRO CARLOS</v>
      </c>
      <c r="F421" s="20" t="str">
        <f>VLOOKUP(C421,ID!$1:$1048576,2,FALSE)</f>
        <v>TORRES SALAS</v>
      </c>
      <c r="G421" s="2" t="str">
        <f>VLOOKUP(D421,CORREOS!$A$2:$B$570,2,FALSE)</f>
        <v>LEANDROCARLOS.TORRES@ANTAYHOTELES.CL</v>
      </c>
      <c r="H421" s="24" t="str">
        <f>VLOOKUP(A421,'Informe 2025'!$A$5:$C$164,3,FALSE)</f>
        <v>Introduccion al mundo del café</v>
      </c>
      <c r="I421">
        <f>VLOOKUP(H421,'Informe 2025'!$C$6:$M$166,11,FALSE)</f>
        <v>1</v>
      </c>
    </row>
    <row r="422" spans="1:9" x14ac:dyDescent="0.25">
      <c r="A422" s="2">
        <v>29</v>
      </c>
      <c r="B422" t="str">
        <f>VLOOKUP(A422,'Informe 2025'!$1:$1048576,2,FALSE)</f>
        <v>MAYO</v>
      </c>
      <c r="C422" t="s">
        <v>1815</v>
      </c>
      <c r="D422" s="20" t="str">
        <f>VLOOKUP(C422,ID!$1:$1048576,4,FALSE)</f>
        <v>104068</v>
      </c>
      <c r="E422" s="20" t="str">
        <f>VLOOKUP(C422,ID!$1:$1048576,3,FALSE)</f>
        <v xml:space="preserve"> BRANDON NICOLAS</v>
      </c>
      <c r="F422" s="20" t="str">
        <f>VLOOKUP(C422,ID!$1:$1048576,2,FALSE)</f>
        <v>GOMEZ LOBOS</v>
      </c>
      <c r="G422" s="2" t="str">
        <f>VLOOKUP(D422,CORREOS!$A$2:$B$570,2,FALSE)</f>
        <v>BGLOBOS@ANTAYHOTELES.CL</v>
      </c>
      <c r="H422" s="24" t="str">
        <f>VLOOKUP(A422,'Informe 2025'!$A$5:$C$164,3,FALSE)</f>
        <v>Introduccion al mundo del café</v>
      </c>
      <c r="I422">
        <f>VLOOKUP(H422,'Informe 2025'!$C$6:$M$166,11,FALSE)</f>
        <v>1</v>
      </c>
    </row>
    <row r="423" spans="1:9" x14ac:dyDescent="0.25">
      <c r="A423" s="2">
        <v>29</v>
      </c>
      <c r="B423" t="str">
        <f>VLOOKUP(A423,'Informe 2025'!$1:$1048576,2,FALSE)</f>
        <v>MAYO</v>
      </c>
      <c r="C423" t="s">
        <v>358</v>
      </c>
      <c r="D423" s="20" t="str">
        <f>VLOOKUP(C423,ID!$1:$1048576,4,FALSE)</f>
        <v>102666</v>
      </c>
      <c r="E423" s="20" t="str">
        <f>VLOOKUP(C423,ID!$1:$1048576,3,FALSE)</f>
        <v xml:space="preserve"> ALVARO</v>
      </c>
      <c r="F423" s="20" t="str">
        <f>VLOOKUP(C423,ID!$1:$1048576,2,FALSE)</f>
        <v>GATICA JORQUERA</v>
      </c>
      <c r="G423" s="2" t="str">
        <f>VLOOKUP(D423,CORREOS!$A$2:$B$570,2,FALSE)</f>
        <v>AGATICA@ANTAYHOTELES.CL</v>
      </c>
      <c r="H423" s="24" t="str">
        <f>VLOOKUP(A423,'Informe 2025'!$A$5:$C$164,3,FALSE)</f>
        <v>Introduccion al mundo del café</v>
      </c>
      <c r="I423">
        <f>VLOOKUP(H423,'Informe 2025'!$C$6:$M$166,11,FALSE)</f>
        <v>1</v>
      </c>
    </row>
    <row r="424" spans="1:9" x14ac:dyDescent="0.25">
      <c r="A424" s="2">
        <v>30</v>
      </c>
      <c r="B424" t="str">
        <f>VLOOKUP(A424,'Informe 2025'!$1:$1048576,2,FALSE)</f>
        <v>MAYO</v>
      </c>
      <c r="C424" t="s">
        <v>1658</v>
      </c>
      <c r="D424" s="20" t="str">
        <f>VLOOKUP(C424,ID!$1:$1048576,4,FALSE)</f>
        <v>103118</v>
      </c>
      <c r="E424" s="20" t="str">
        <f>VLOOKUP(C424,ID!$1:$1048576,3,FALSE)</f>
        <v xml:space="preserve"> SCARLETTE NICOLE</v>
      </c>
      <c r="F424" s="20" t="str">
        <f>VLOOKUP(C424,ID!$1:$1048576,2,FALSE)</f>
        <v>ORTIZ OLIVARES</v>
      </c>
      <c r="G424" s="2" t="e">
        <f>VLOOKUP(D424,CORREOS!$A$2:$B$570,2,FALSE)</f>
        <v>#N/A</v>
      </c>
      <c r="H424" s="24" t="str">
        <f>VLOOKUP(A424,'Informe 2025'!$A$5:$C$164,3,FALSE)</f>
        <v>Induccion Indefinidos</v>
      </c>
      <c r="I424">
        <f>VLOOKUP(H424,'Informe 2025'!$C$6:$M$166,11,FALSE)</f>
        <v>2</v>
      </c>
    </row>
    <row r="425" spans="1:9" x14ac:dyDescent="0.25">
      <c r="A425" s="2">
        <v>30</v>
      </c>
      <c r="B425" t="str">
        <f>VLOOKUP(A425,'Informe 2025'!$1:$1048576,2,FALSE)</f>
        <v>MAYO</v>
      </c>
      <c r="C425" t="s">
        <v>1657</v>
      </c>
      <c r="D425" s="20" t="str">
        <f>VLOOKUP(C425,ID!$1:$1048576,4,FALSE)</f>
        <v>103609</v>
      </c>
      <c r="E425" s="20" t="str">
        <f>VLOOKUP(C425,ID!$1:$1048576,3,FALSE)</f>
        <v xml:space="preserve"> NATALY ARACELY</v>
      </c>
      <c r="F425" s="20" t="str">
        <f>VLOOKUP(C425,ID!$1:$1048576,2,FALSE)</f>
        <v>OPAZO DIAZ</v>
      </c>
      <c r="G425" s="2" t="e">
        <f>VLOOKUP(D425,CORREOS!$A$2:$B$570,2,FALSE)</f>
        <v>#N/A</v>
      </c>
      <c r="H425" s="24" t="str">
        <f>VLOOKUP(A425,'Informe 2025'!$A$5:$C$164,3,FALSE)</f>
        <v>Induccion Indefinidos</v>
      </c>
      <c r="I425">
        <f>VLOOKUP(H425,'Informe 2025'!$C$6:$M$166,11,FALSE)</f>
        <v>2</v>
      </c>
    </row>
    <row r="426" spans="1:9" x14ac:dyDescent="0.25">
      <c r="A426" s="2">
        <v>30</v>
      </c>
      <c r="B426" t="str">
        <f>VLOOKUP(A426,'Informe 2025'!$1:$1048576,2,FALSE)</f>
        <v>MAYO</v>
      </c>
      <c r="C426" t="s">
        <v>1660</v>
      </c>
      <c r="D426" s="20" t="str">
        <f>VLOOKUP(C426,ID!$1:$1048576,4,FALSE)</f>
        <v>103898</v>
      </c>
      <c r="E426" s="20" t="str">
        <f>VLOOKUP(C426,ID!$1:$1048576,3,FALSE)</f>
        <v xml:space="preserve"> NAYARET VERONICA</v>
      </c>
      <c r="F426" s="20" t="str">
        <f>VLOOKUP(C426,ID!$1:$1048576,2,FALSE)</f>
        <v>PONCE PAZ</v>
      </c>
      <c r="G426" s="2" t="e">
        <f>VLOOKUP(D426,CORREOS!$A$2:$B$570,2,FALSE)</f>
        <v>#N/A</v>
      </c>
      <c r="H426" s="24" t="str">
        <f>VLOOKUP(A426,'Informe 2025'!$A$5:$C$164,3,FALSE)</f>
        <v>Induccion Indefinidos</v>
      </c>
      <c r="I426">
        <f>VLOOKUP(H426,'Informe 2025'!$C$6:$M$166,11,FALSE)</f>
        <v>2</v>
      </c>
    </row>
    <row r="427" spans="1:9" x14ac:dyDescent="0.25">
      <c r="A427" s="2">
        <v>30</v>
      </c>
      <c r="B427" t="str">
        <f>VLOOKUP(A427,'Informe 2025'!$1:$1048576,2,FALSE)</f>
        <v>MAYO</v>
      </c>
      <c r="C427" t="s">
        <v>1625</v>
      </c>
      <c r="D427" s="20" t="str">
        <f>VLOOKUP(C427,ID!$1:$1048576,4,FALSE)</f>
        <v>103974</v>
      </c>
      <c r="E427" s="20" t="str">
        <f>VLOOKUP(C427,ID!$1:$1048576,3,FALSE)</f>
        <v xml:space="preserve"> CARLA JOAN</v>
      </c>
      <c r="F427" s="20" t="str">
        <f>VLOOKUP(C427,ID!$1:$1048576,2,FALSE)</f>
        <v>ANJEL ANJEL</v>
      </c>
      <c r="G427" s="2" t="e">
        <f>VLOOKUP(D427,CORREOS!$A$2:$B$570,2,FALSE)</f>
        <v>#N/A</v>
      </c>
      <c r="H427" s="24" t="str">
        <f>VLOOKUP(A427,'Informe 2025'!$A$5:$C$164,3,FALSE)</f>
        <v>Induccion Indefinidos</v>
      </c>
      <c r="I427">
        <f>VLOOKUP(H427,'Informe 2025'!$C$6:$M$166,11,FALSE)</f>
        <v>2</v>
      </c>
    </row>
    <row r="428" spans="1:9" x14ac:dyDescent="0.25">
      <c r="A428" s="2">
        <v>30</v>
      </c>
      <c r="B428" t="str">
        <f>VLOOKUP(A428,'Informe 2025'!$1:$1048576,2,FALSE)</f>
        <v>MAYO</v>
      </c>
      <c r="C428" t="s">
        <v>1649</v>
      </c>
      <c r="D428" s="20" t="str">
        <f>VLOOKUP(C428,ID!$1:$1048576,4,FALSE)</f>
        <v>103963</v>
      </c>
      <c r="E428" s="20" t="str">
        <f>VLOOKUP(C428,ID!$1:$1048576,3,FALSE)</f>
        <v xml:space="preserve"> YEREZIM DIANA</v>
      </c>
      <c r="F428" s="20" t="str">
        <f>VLOOKUP(C428,ID!$1:$1048576,2,FALSE)</f>
        <v>JIMENEZ HIDALGO</v>
      </c>
      <c r="G428" s="2" t="str">
        <f>VLOOKUP(D428,CORREOS!$A$2:$B$570,2,FALSE)</f>
        <v>YHURTADO@antayhoteles.cl</v>
      </c>
      <c r="H428" s="24" t="str">
        <f>VLOOKUP(A428,'Informe 2025'!$A$5:$C$164,3,FALSE)</f>
        <v>Induccion Indefinidos</v>
      </c>
      <c r="I428">
        <f>VLOOKUP(H428,'Informe 2025'!$C$6:$M$166,11,FALSE)</f>
        <v>2</v>
      </c>
    </row>
    <row r="429" spans="1:9" x14ac:dyDescent="0.25">
      <c r="A429" s="2">
        <v>30</v>
      </c>
      <c r="B429" t="str">
        <f>VLOOKUP(A429,'Informe 2025'!$1:$1048576,2,FALSE)</f>
        <v>MAYO</v>
      </c>
      <c r="C429" t="s">
        <v>1633</v>
      </c>
      <c r="D429" s="20" t="str">
        <f>VLOOKUP(C429,ID!$1:$1048576,4,FALSE)</f>
        <v>103483</v>
      </c>
      <c r="E429" s="20" t="str">
        <f>VLOOKUP(C429,ID!$1:$1048576,3,FALSE)</f>
        <v xml:space="preserve"> GIOVANNY JEFFRY</v>
      </c>
      <c r="F429" s="20" t="str">
        <f>VLOOKUP(C429,ID!$1:$1048576,2,FALSE)</f>
        <v>BASAEZ PINTO</v>
      </c>
      <c r="G429" s="2" t="str">
        <f>VLOOKUP(D429,CORREOS!$A$2:$B$570,2,FALSE)</f>
        <v>GBASAEZ@antayhoteles.cl</v>
      </c>
      <c r="H429" s="24" t="str">
        <f>VLOOKUP(A429,'Informe 2025'!$A$5:$C$164,3,FALSE)</f>
        <v>Induccion Indefinidos</v>
      </c>
      <c r="I429">
        <f>VLOOKUP(H429,'Informe 2025'!$C$6:$M$166,11,FALSE)</f>
        <v>2</v>
      </c>
    </row>
    <row r="430" spans="1:9" x14ac:dyDescent="0.25">
      <c r="A430" s="2">
        <v>30</v>
      </c>
      <c r="B430" t="str">
        <f>VLOOKUP(A430,'Informe 2025'!$1:$1048576,2,FALSE)</f>
        <v>MAYO</v>
      </c>
      <c r="C430" t="s">
        <v>1915</v>
      </c>
      <c r="D430" s="20" t="str">
        <f>VLOOKUP(C430,ID!$1:$1048576,4,FALSE)</f>
        <v>103967</v>
      </c>
      <c r="E430" s="20" t="str">
        <f>VLOOKUP(C430,ID!$1:$1048576,3,FALSE)</f>
        <v xml:space="preserve"> MARCELA PAZ</v>
      </c>
      <c r="F430" s="20" t="str">
        <f>VLOOKUP(C430,ID!$1:$1048576,2,FALSE)</f>
        <v>MAIBE MAIBE</v>
      </c>
      <c r="G430" s="2" t="e">
        <f>VLOOKUP(D430,CORREOS!$A$2:$B$570,2,FALSE)</f>
        <v>#N/A</v>
      </c>
      <c r="H430" s="24" t="str">
        <f>VLOOKUP(A430,'Informe 2025'!$A$5:$C$164,3,FALSE)</f>
        <v>Induccion Indefinidos</v>
      </c>
      <c r="I430">
        <f>VLOOKUP(H430,'Informe 2025'!$C$6:$M$166,11,FALSE)</f>
        <v>2</v>
      </c>
    </row>
    <row r="431" spans="1:9" x14ac:dyDescent="0.25">
      <c r="A431" s="2">
        <v>30</v>
      </c>
      <c r="B431" t="str">
        <f>VLOOKUP(A431,'Informe 2025'!$1:$1048576,2,FALSE)</f>
        <v>MAYO</v>
      </c>
      <c r="C431" t="s">
        <v>1655</v>
      </c>
      <c r="D431" s="20" t="str">
        <f>VLOOKUP(C431,ID!$1:$1048576,4,FALSE)</f>
        <v>103880</v>
      </c>
      <c r="E431" s="20" t="str">
        <f>VLOOKUP(C431,ID!$1:$1048576,3,FALSE)</f>
        <v xml:space="preserve"> YORMAN JOEL</v>
      </c>
      <c r="F431" s="20" t="str">
        <f>VLOOKUP(C431,ID!$1:$1048576,2,FALSE)</f>
        <v>OBANDO VIVAS</v>
      </c>
      <c r="G431" s="2" t="e">
        <f>VLOOKUP(D431,CORREOS!$A$2:$B$570,2,FALSE)</f>
        <v>#N/A</v>
      </c>
      <c r="H431" s="24" t="str">
        <f>VLOOKUP(A431,'Informe 2025'!$A$5:$C$164,3,FALSE)</f>
        <v>Induccion Indefinidos</v>
      </c>
      <c r="I431">
        <f>VLOOKUP(H431,'Informe 2025'!$C$6:$M$166,11,FALSE)</f>
        <v>2</v>
      </c>
    </row>
    <row r="432" spans="1:9" x14ac:dyDescent="0.25">
      <c r="A432" s="2">
        <v>31</v>
      </c>
      <c r="B432" t="str">
        <f>VLOOKUP(A432,'Informe 2025'!$1:$1048576,2,FALSE)</f>
        <v>MAYO</v>
      </c>
      <c r="C432" t="s">
        <v>1627</v>
      </c>
      <c r="D432" s="20" t="str">
        <f>VLOOKUP(C432,ID!$1:$1048576,4,FALSE)</f>
        <v>103792</v>
      </c>
      <c r="E432" s="20" t="str">
        <f>VLOOKUP(C432,ID!$1:$1048576,3,FALSE)</f>
        <v xml:space="preserve"> FERNANDA IGNACIA</v>
      </c>
      <c r="F432" s="20" t="str">
        <f>VLOOKUP(C432,ID!$1:$1048576,2,FALSE)</f>
        <v>ARAYA LORCA</v>
      </c>
      <c r="G432" s="2" t="str">
        <f>VLOOKUP(D432,CORREOS!$A$2:$B$570,2,FALSE)</f>
        <v>FALORCA@cl.luckia.com</v>
      </c>
      <c r="H432" s="24" t="str">
        <f>VLOOKUP(A432,'Informe 2025'!$A$5:$C$164,3,FALSE)</f>
        <v>Imagen y servicio</v>
      </c>
      <c r="I432">
        <f>VLOOKUP(H432,'Informe 2025'!$C$6:$M$166,11,FALSE)</f>
        <v>1.5</v>
      </c>
    </row>
    <row r="433" spans="1:9" x14ac:dyDescent="0.25">
      <c r="A433" s="2">
        <v>31</v>
      </c>
      <c r="B433" t="str">
        <f>VLOOKUP(A433,'Informe 2025'!$1:$1048576,2,FALSE)</f>
        <v>MAYO</v>
      </c>
      <c r="C433" t="s">
        <v>481</v>
      </c>
      <c r="D433" s="20" t="str">
        <f>VLOOKUP(C433,ID!$1:$1048576,4,FALSE)</f>
        <v>101689</v>
      </c>
      <c r="E433" s="20" t="str">
        <f>VLOOKUP(C433,ID!$1:$1048576,3,FALSE)</f>
        <v xml:space="preserve"> LUIS ESTEBAN</v>
      </c>
      <c r="F433" s="20" t="str">
        <f>VLOOKUP(C433,ID!$1:$1048576,2,FALSE)</f>
        <v>RIVERA ALTAMIRANO</v>
      </c>
      <c r="G433" s="2" t="str">
        <f>VLOOKUP(D433,CORREOS!$A$2:$B$570,2,FALSE)</f>
        <v>LUISESTEBAN.RIVERA@CL.LUCKIA.COM</v>
      </c>
      <c r="H433" s="24" t="str">
        <f>VLOOKUP(A433,'Informe 2025'!$A$5:$C$164,3,FALSE)</f>
        <v>Imagen y servicio</v>
      </c>
      <c r="I433">
        <f>VLOOKUP(H433,'Informe 2025'!$C$6:$M$166,11,FALSE)</f>
        <v>1.5</v>
      </c>
    </row>
    <row r="434" spans="1:9" x14ac:dyDescent="0.25">
      <c r="A434" s="2">
        <v>31</v>
      </c>
      <c r="B434" t="str">
        <f>VLOOKUP(A434,'Informe 2025'!$1:$1048576,2,FALSE)</f>
        <v>MAYO</v>
      </c>
      <c r="C434" t="s">
        <v>246</v>
      </c>
      <c r="D434" s="20" t="str">
        <f>VLOOKUP(C434,ID!$1:$1048576,4,FALSE)</f>
        <v>102101</v>
      </c>
      <c r="E434" s="20" t="str">
        <f>VLOOKUP(C434,ID!$1:$1048576,3,FALSE)</f>
        <v xml:space="preserve"> GUILLERMO JESUS</v>
      </c>
      <c r="F434" s="20" t="str">
        <f>VLOOKUP(C434,ID!$1:$1048576,2,FALSE)</f>
        <v>ALANIZ MERY</v>
      </c>
      <c r="G434" s="2" t="str">
        <f>VLOOKUP(D434,CORREOS!$A$2:$B$570,2,FALSE)</f>
        <v>GALANIZ@ANTAYHOTELES.CL</v>
      </c>
      <c r="H434" s="24" t="str">
        <f>VLOOKUP(A434,'Informe 2025'!$A$5:$C$164,3,FALSE)</f>
        <v>Imagen y servicio</v>
      </c>
      <c r="I434">
        <f>VLOOKUP(H434,'Informe 2025'!$C$6:$M$166,11,FALSE)</f>
        <v>1.5</v>
      </c>
    </row>
    <row r="435" spans="1:9" x14ac:dyDescent="0.25">
      <c r="A435" s="2">
        <v>31</v>
      </c>
      <c r="B435" t="str">
        <f>VLOOKUP(A435,'Informe 2025'!$1:$1048576,2,FALSE)</f>
        <v>MAYO</v>
      </c>
      <c r="C435" t="s">
        <v>436</v>
      </c>
      <c r="D435" s="20" t="str">
        <f>VLOOKUP(C435,ID!$1:$1048576,4,FALSE)</f>
        <v>103016</v>
      </c>
      <c r="E435" s="20" t="str">
        <f>VLOOKUP(C435,ID!$1:$1048576,3,FALSE)</f>
        <v xml:space="preserve"> ANDREA</v>
      </c>
      <c r="F435" s="20" t="str">
        <f>VLOOKUP(C435,ID!$1:$1048576,2,FALSE)</f>
        <v>NOCHES CARRERA</v>
      </c>
      <c r="G435" s="2" t="str">
        <f>VLOOKUP(D435,CORREOS!$A$2:$B$570,2,FALSE)</f>
        <v>ANOCHES@ANTAYHOTELES.CL</v>
      </c>
      <c r="H435" s="24" t="str">
        <f>VLOOKUP(A435,'Informe 2025'!$A$5:$C$164,3,FALSE)</f>
        <v>Imagen y servicio</v>
      </c>
      <c r="I435">
        <f>VLOOKUP(H435,'Informe 2025'!$C$6:$M$166,11,FALSE)</f>
        <v>1.5</v>
      </c>
    </row>
    <row r="436" spans="1:9" x14ac:dyDescent="0.25">
      <c r="A436" s="2">
        <v>31</v>
      </c>
      <c r="B436" t="str">
        <f>VLOOKUP(A436,'Informe 2025'!$1:$1048576,2,FALSE)</f>
        <v>MAYO</v>
      </c>
      <c r="C436" t="s">
        <v>1814</v>
      </c>
      <c r="D436" s="20" t="str">
        <f>VLOOKUP(C436,ID!$1:$1048576,4,FALSE)</f>
        <v>102600</v>
      </c>
      <c r="E436" s="20" t="str">
        <f>VLOOKUP(C436,ID!$1:$1048576,3,FALSE)</f>
        <v xml:space="preserve"> LUCA GUSTAVO</v>
      </c>
      <c r="F436" s="20" t="str">
        <f>VLOOKUP(C436,ID!$1:$1048576,2,FALSE)</f>
        <v>VALDOVINOS CODERCH</v>
      </c>
      <c r="G436" s="2" t="str">
        <f>VLOOKUP(D436,CORREOS!$A$2:$B$570,2,FALSE)</f>
        <v>LVALDOVINOS@ANTAYHOTELES.CL</v>
      </c>
      <c r="H436" s="24" t="str">
        <f>VLOOKUP(A436,'Informe 2025'!$A$5:$C$164,3,FALSE)</f>
        <v>Imagen y servicio</v>
      </c>
      <c r="I436">
        <f>VLOOKUP(H436,'Informe 2025'!$C$6:$M$166,11,FALSE)</f>
        <v>1.5</v>
      </c>
    </row>
    <row r="437" spans="1:9" x14ac:dyDescent="0.25">
      <c r="A437" s="2">
        <v>31</v>
      </c>
      <c r="B437" t="str">
        <f>VLOOKUP(A437,'Informe 2025'!$1:$1048576,2,FALSE)</f>
        <v>MAYO</v>
      </c>
      <c r="C437" t="s">
        <v>353</v>
      </c>
      <c r="D437" s="20" t="str">
        <f>VLOOKUP(C437,ID!$1:$1048576,4,FALSE)</f>
        <v>102748</v>
      </c>
      <c r="E437" s="20" t="str">
        <f>VLOOKUP(C437,ID!$1:$1048576,3,FALSE)</f>
        <v xml:space="preserve"> EMMERSON</v>
      </c>
      <c r="F437" s="20" t="str">
        <f>VLOOKUP(C437,ID!$1:$1048576,2,FALSE)</f>
        <v>GALVEZ IBARRA</v>
      </c>
      <c r="G437" s="2" t="str">
        <f>VLOOKUP(D437,CORREOS!$A$2:$B$570,2,FALSE)</f>
        <v>EGALVEZ@CL.LUCKIA.COM</v>
      </c>
      <c r="H437" s="24" t="str">
        <f>VLOOKUP(A437,'Informe 2025'!$A$5:$C$164,3,FALSE)</f>
        <v>Imagen y servicio</v>
      </c>
      <c r="I437">
        <f>VLOOKUP(H437,'Informe 2025'!$C$6:$M$166,11,FALSE)</f>
        <v>1.5</v>
      </c>
    </row>
    <row r="438" spans="1:9" x14ac:dyDescent="0.25">
      <c r="A438" s="2">
        <v>31</v>
      </c>
      <c r="B438" t="str">
        <f>VLOOKUP(A438,'Informe 2025'!$1:$1048576,2,FALSE)</f>
        <v>MAYO</v>
      </c>
      <c r="C438" t="s">
        <v>416</v>
      </c>
      <c r="D438" s="20" t="str">
        <f>VLOOKUP(C438,ID!$1:$1048576,4,FALSE)</f>
        <v>101878</v>
      </c>
      <c r="E438" s="20" t="str">
        <f>VLOOKUP(C438,ID!$1:$1048576,3,FALSE)</f>
        <v xml:space="preserve"> LUIS SEBASTIAN</v>
      </c>
      <c r="F438" s="20" t="str">
        <f>VLOOKUP(C438,ID!$1:$1048576,2,FALSE)</f>
        <v>MERCADO CAVIERES</v>
      </c>
      <c r="G438" s="2" t="str">
        <f>VLOOKUP(D438,CORREOS!$A$2:$B$570,2,FALSE)</f>
        <v>LMCAVIERES@ANTAYHOTELES.CL</v>
      </c>
      <c r="H438" s="24" t="str">
        <f>VLOOKUP(A438,'Informe 2025'!$A$5:$C$164,3,FALSE)</f>
        <v>Imagen y servicio</v>
      </c>
      <c r="I438">
        <f>VLOOKUP(H438,'Informe 2025'!$C$6:$M$166,11,FALSE)</f>
        <v>1.5</v>
      </c>
    </row>
    <row r="439" spans="1:9" x14ac:dyDescent="0.25">
      <c r="A439" s="2">
        <v>31</v>
      </c>
      <c r="B439" t="str">
        <f>VLOOKUP(A439,'Informe 2025'!$1:$1048576,2,FALSE)</f>
        <v>MAYO</v>
      </c>
      <c r="C439" t="s">
        <v>1655</v>
      </c>
      <c r="D439" s="20" t="str">
        <f>VLOOKUP(C439,ID!$1:$1048576,4,FALSE)</f>
        <v>103880</v>
      </c>
      <c r="E439" s="20" t="str">
        <f>VLOOKUP(C439,ID!$1:$1048576,3,FALSE)</f>
        <v xml:space="preserve"> YORMAN JOEL</v>
      </c>
      <c r="F439" s="20" t="str">
        <f>VLOOKUP(C439,ID!$1:$1048576,2,FALSE)</f>
        <v>OBANDO VIVAS</v>
      </c>
      <c r="G439" s="2" t="e">
        <f>VLOOKUP(D439,CORREOS!$A$2:$B$570,2,FALSE)</f>
        <v>#N/A</v>
      </c>
      <c r="H439" s="24" t="str">
        <f>VLOOKUP(A439,'Informe 2025'!$A$5:$C$164,3,FALSE)</f>
        <v>Imagen y servicio</v>
      </c>
      <c r="I439">
        <f>VLOOKUP(H439,'Informe 2025'!$C$6:$M$166,11,FALSE)</f>
        <v>1.5</v>
      </c>
    </row>
    <row r="440" spans="1:9" x14ac:dyDescent="0.25">
      <c r="A440" s="2">
        <v>31</v>
      </c>
      <c r="B440" t="str">
        <f>VLOOKUP(A440,'Informe 2025'!$1:$1048576,2,FALSE)</f>
        <v>MAYO</v>
      </c>
      <c r="C440" t="s">
        <v>305</v>
      </c>
      <c r="D440" s="20" t="str">
        <f>VLOOKUP(C440,ID!$1:$1048576,4,FALSE)</f>
        <v>102746</v>
      </c>
      <c r="E440" s="20" t="str">
        <f>VLOOKUP(C440,ID!$1:$1048576,3,FALSE)</f>
        <v xml:space="preserve"> GONZALO PATRICIO</v>
      </c>
      <c r="F440" s="20" t="str">
        <f>VLOOKUP(C440,ID!$1:$1048576,2,FALSE)</f>
        <v>CASTRO OROSTEGUI</v>
      </c>
      <c r="G440" s="2" t="str">
        <f>VLOOKUP(D440,CORREOS!$A$2:$B$570,2,FALSE)</f>
        <v>GCASTRO@ANTAYHOTELES.CL</v>
      </c>
      <c r="H440" s="24" t="str">
        <f>VLOOKUP(A440,'Informe 2025'!$A$5:$C$164,3,FALSE)</f>
        <v>Imagen y servicio</v>
      </c>
      <c r="I440">
        <f>VLOOKUP(H440,'Informe 2025'!$C$6:$M$166,11,FALSE)</f>
        <v>1.5</v>
      </c>
    </row>
    <row r="441" spans="1:9" x14ac:dyDescent="0.25">
      <c r="A441" s="2">
        <v>31</v>
      </c>
      <c r="B441" t="str">
        <f>VLOOKUP(A441,'Informe 2025'!$1:$1048576,2,FALSE)</f>
        <v>MAYO</v>
      </c>
      <c r="C441" t="s">
        <v>498</v>
      </c>
      <c r="D441" s="20" t="str">
        <f>VLOOKUP(C441,ID!$1:$1048576,4,FALSE)</f>
        <v>101825</v>
      </c>
      <c r="E441" s="20" t="str">
        <f>VLOOKUP(C441,ID!$1:$1048576,3,FALSE)</f>
        <v xml:space="preserve"> GISSELA ANDREA</v>
      </c>
      <c r="F441" s="20" t="str">
        <f>VLOOKUP(C441,ID!$1:$1048576,2,FALSE)</f>
        <v>SANCHEZ QUISPE</v>
      </c>
      <c r="G441" s="2" t="str">
        <f>VLOOKUP(D441,CORREOS!$A$2:$B$570,2,FALSE)</f>
        <v>GSQUISPE@CL.LUCKIA.COM</v>
      </c>
      <c r="H441" s="24" t="str">
        <f>VLOOKUP(A441,'Informe 2025'!$A$5:$C$164,3,FALSE)</f>
        <v>Imagen y servicio</v>
      </c>
      <c r="I441">
        <f>VLOOKUP(H441,'Informe 2025'!$C$6:$M$166,11,FALSE)</f>
        <v>1.5</v>
      </c>
    </row>
    <row r="442" spans="1:9" x14ac:dyDescent="0.25">
      <c r="A442" s="2">
        <v>31</v>
      </c>
      <c r="B442" t="str">
        <f>VLOOKUP(A442,'Informe 2025'!$1:$1048576,2,FALSE)</f>
        <v>MAYO</v>
      </c>
      <c r="C442" t="s">
        <v>1638</v>
      </c>
      <c r="D442" s="20" t="str">
        <f>VLOOKUP(C442,ID!$1:$1048576,4,FALSE)</f>
        <v>103810</v>
      </c>
      <c r="E442" s="20" t="str">
        <f>VLOOKUP(C442,ID!$1:$1048576,3,FALSE)</f>
        <v xml:space="preserve"> ARANZA ALEJANDRA</v>
      </c>
      <c r="F442" s="20" t="str">
        <f>VLOOKUP(C442,ID!$1:$1048576,2,FALSE)</f>
        <v>CASTILLO VARAS</v>
      </c>
      <c r="G442" s="2" t="str">
        <f>VLOOKUP(D442,CORREOS!$A$2:$B$570,2,FALSE)</f>
        <v xml:space="preserve"> ARANZA ALEJANDRA</v>
      </c>
      <c r="H442" s="24" t="str">
        <f>VLOOKUP(A442,'Informe 2025'!$A$5:$C$164,3,FALSE)</f>
        <v>Imagen y servicio</v>
      </c>
      <c r="I442">
        <f>VLOOKUP(H442,'Informe 2025'!$C$6:$M$166,11,FALSE)</f>
        <v>1.5</v>
      </c>
    </row>
    <row r="443" spans="1:9" x14ac:dyDescent="0.25">
      <c r="A443" s="2">
        <v>31</v>
      </c>
      <c r="B443" t="str">
        <f>VLOOKUP(A443,'Informe 2025'!$1:$1048576,2,FALSE)</f>
        <v>MAYO</v>
      </c>
      <c r="C443" t="s">
        <v>507</v>
      </c>
      <c r="D443" s="20" t="str">
        <f>VLOOKUP(C443,ID!$1:$1048576,4,FALSE)</f>
        <v>101892</v>
      </c>
      <c r="E443" s="20" t="str">
        <f>VLOOKUP(C443,ID!$1:$1048576,3,FALSE)</f>
        <v xml:space="preserve"> ALEJANDRO LUIS</v>
      </c>
      <c r="F443" s="20" t="str">
        <f>VLOOKUP(C443,ID!$1:$1048576,2,FALSE)</f>
        <v>SOLIS AGUIRRE</v>
      </c>
      <c r="G443" s="2" t="str">
        <f>VLOOKUP(D443,CORREOS!$A$2:$B$570,2,FALSE)</f>
        <v>ASOLIS@ANTAYHOTELES.CL</v>
      </c>
      <c r="H443" s="24" t="str">
        <f>VLOOKUP(A443,'Informe 2025'!$A$5:$C$164,3,FALSE)</f>
        <v>Imagen y servicio</v>
      </c>
      <c r="I443">
        <f>VLOOKUP(H443,'Informe 2025'!$C$6:$M$166,11,FALSE)</f>
        <v>1.5</v>
      </c>
    </row>
    <row r="444" spans="1:9" x14ac:dyDescent="0.25">
      <c r="A444" s="2">
        <v>31</v>
      </c>
      <c r="B444" t="str">
        <f>VLOOKUP(A444,'Informe 2025'!$1:$1048576,2,FALSE)</f>
        <v>MAYO</v>
      </c>
      <c r="C444" t="s">
        <v>487</v>
      </c>
      <c r="D444" s="20" t="str">
        <f>VLOOKUP(C444,ID!$1:$1048576,4,FALSE)</f>
        <v>101978</v>
      </c>
      <c r="E444" s="20" t="str">
        <f>VLOOKUP(C444,ID!$1:$1048576,3,FALSE)</f>
        <v xml:space="preserve"> ARANTZA DOMINIQUE FIONA</v>
      </c>
      <c r="F444" s="20" t="str">
        <f>VLOOKUP(C444,ID!$1:$1048576,2,FALSE)</f>
        <v>ROJAS CALLEJAS</v>
      </c>
      <c r="G444" s="2" t="str">
        <f>VLOOKUP(D444,CORREOS!$A$2:$B$570,2,FALSE)</f>
        <v>ARCALLEJAS@ANTAYHOTELES.CL</v>
      </c>
      <c r="H444" s="24" t="str">
        <f>VLOOKUP(A444,'Informe 2025'!$A$5:$C$164,3,FALSE)</f>
        <v>Imagen y servicio</v>
      </c>
      <c r="I444">
        <f>VLOOKUP(H444,'Informe 2025'!$C$6:$M$166,11,FALSE)</f>
        <v>1.5</v>
      </c>
    </row>
    <row r="445" spans="1:9" x14ac:dyDescent="0.25">
      <c r="A445" s="2">
        <v>31</v>
      </c>
      <c r="B445" t="str">
        <f>VLOOKUP(A445,'Informe 2025'!$1:$1048576,2,FALSE)</f>
        <v>MAYO</v>
      </c>
      <c r="C445" t="s">
        <v>290</v>
      </c>
      <c r="D445" s="20" t="str">
        <f>VLOOKUP(C445,ID!$1:$1048576,4,FALSE)</f>
        <v>101522</v>
      </c>
      <c r="E445" s="20" t="str">
        <f>VLOOKUP(C445,ID!$1:$1048576,3,FALSE)</f>
        <v xml:space="preserve"> ADAN MOISES</v>
      </c>
      <c r="F445" s="20" t="str">
        <f>VLOOKUP(C445,ID!$1:$1048576,2,FALSE)</f>
        <v>CARRASCO ANABALON</v>
      </c>
      <c r="G445" s="2" t="str">
        <f>VLOOKUP(D445,CORREOS!$A$2:$B$570,2,FALSE)</f>
        <v>ADANMOISES.CARRASCO@CL.LUCKIA.COM</v>
      </c>
      <c r="H445" s="24" t="str">
        <f>VLOOKUP(A445,'Informe 2025'!$A$5:$C$164,3,FALSE)</f>
        <v>Imagen y servicio</v>
      </c>
      <c r="I445">
        <f>VLOOKUP(H445,'Informe 2025'!$C$6:$M$166,11,FALSE)</f>
        <v>1.5</v>
      </c>
    </row>
    <row r="446" spans="1:9" x14ac:dyDescent="0.25">
      <c r="A446" s="2">
        <v>31</v>
      </c>
      <c r="B446" t="str">
        <f>VLOOKUP(A446,'Informe 2025'!$1:$1048576,2,FALSE)</f>
        <v>MAYO</v>
      </c>
      <c r="C446" t="s">
        <v>399</v>
      </c>
      <c r="D446" s="20" t="str">
        <f>VLOOKUP(C446,ID!$1:$1048576,4,FALSE)</f>
        <v>102737</v>
      </c>
      <c r="E446" s="20" t="str">
        <f>VLOOKUP(C446,ID!$1:$1048576,3,FALSE)</f>
        <v xml:space="preserve"> MARJORIE</v>
      </c>
      <c r="F446" s="20" t="str">
        <f>VLOOKUP(C446,ID!$1:$1048576,2,FALSE)</f>
        <v>LOPEZ NAVARRO</v>
      </c>
      <c r="G446" s="2" t="str">
        <f>VLOOKUP(D446,CORREOS!$A$2:$B$570,2,FALSE)</f>
        <v>MLNAVARRO@ANTAYHOTELES.CL</v>
      </c>
      <c r="H446" s="24" t="str">
        <f>VLOOKUP(A446,'Informe 2025'!$A$5:$C$164,3,FALSE)</f>
        <v>Imagen y servicio</v>
      </c>
      <c r="I446">
        <f>VLOOKUP(H446,'Informe 2025'!$C$6:$M$166,11,FALSE)</f>
        <v>1.5</v>
      </c>
    </row>
    <row r="447" spans="1:9" x14ac:dyDescent="0.25">
      <c r="A447" s="2">
        <v>31</v>
      </c>
      <c r="B447" t="str">
        <f>VLOOKUP(A447,'Informe 2025'!$1:$1048576,2,FALSE)</f>
        <v>MAYO</v>
      </c>
      <c r="C447" t="s">
        <v>312</v>
      </c>
      <c r="D447" s="20" t="str">
        <f>VLOOKUP(C447,ID!$1:$1048576,4,FALSE)</f>
        <v>102755</v>
      </c>
      <c r="E447" s="20" t="str">
        <f>VLOOKUP(C447,ID!$1:$1048576,3,FALSE)</f>
        <v xml:space="preserve"> LEONARDO ALEXIS</v>
      </c>
      <c r="F447" s="20" t="str">
        <f>VLOOKUP(C447,ID!$1:$1048576,2,FALSE)</f>
        <v>CISTERNAS YANAPA</v>
      </c>
      <c r="G447" s="2" t="str">
        <f>VLOOKUP(D447,CORREOS!$A$2:$B$570,2,FALSE)</f>
        <v>LCISTERNAS@CL.LUCKIA.COM</v>
      </c>
      <c r="H447" s="24" t="str">
        <f>VLOOKUP(A447,'Informe 2025'!$A$5:$C$164,3,FALSE)</f>
        <v>Imagen y servicio</v>
      </c>
      <c r="I447">
        <f>VLOOKUP(H447,'Informe 2025'!$C$6:$M$166,11,FALSE)</f>
        <v>1.5</v>
      </c>
    </row>
    <row r="448" spans="1:9" x14ac:dyDescent="0.25">
      <c r="A448" s="2">
        <v>31</v>
      </c>
      <c r="B448" t="str">
        <f>VLOOKUP(A448,'Informe 2025'!$1:$1048576,2,FALSE)</f>
        <v>MAYO</v>
      </c>
      <c r="C448" t="s">
        <v>281</v>
      </c>
      <c r="D448" s="20" t="str">
        <f>VLOOKUP(C448,ID!$1:$1048576,4,FALSE)</f>
        <v>102881</v>
      </c>
      <c r="E448" s="20" t="str">
        <f>VLOOKUP(C448,ID!$1:$1048576,3,FALSE)</f>
        <v xml:space="preserve"> LAURA</v>
      </c>
      <c r="F448" s="20" t="str">
        <f>VLOOKUP(C448,ID!$1:$1048576,2,FALSE)</f>
        <v>BERISTAIN HURTADO</v>
      </c>
      <c r="G448" s="2" t="str">
        <f>VLOOKUP(D448,CORREOS!$A$2:$B$570,2,FALSE)</f>
        <v>LBERISTAIN@CL.LUCKIA.COM</v>
      </c>
      <c r="H448" s="24" t="str">
        <f>VLOOKUP(A448,'Informe 2025'!$A$5:$C$164,3,FALSE)</f>
        <v>Imagen y servicio</v>
      </c>
      <c r="I448">
        <f>VLOOKUP(H448,'Informe 2025'!$C$6:$M$166,11,FALSE)</f>
        <v>1.5</v>
      </c>
    </row>
    <row r="449" spans="1:9" x14ac:dyDescent="0.25">
      <c r="A449" s="2">
        <v>31</v>
      </c>
      <c r="B449" t="str">
        <f>VLOOKUP(A449,'Informe 2025'!$1:$1048576,2,FALSE)</f>
        <v>MAYO</v>
      </c>
      <c r="C449" t="s">
        <v>395</v>
      </c>
      <c r="D449" s="20" t="str">
        <f>VLOOKUP(C449,ID!$1:$1048576,4,FALSE)</f>
        <v>102063</v>
      </c>
      <c r="E449" s="20" t="str">
        <f>VLOOKUP(C449,ID!$1:$1048576,3,FALSE)</f>
        <v xml:space="preserve"> MICHELLE ANNETTE</v>
      </c>
      <c r="F449" s="20" t="str">
        <f>VLOOKUP(C449,ID!$1:$1048576,2,FALSE)</f>
        <v>LEAL LEYTON</v>
      </c>
      <c r="G449" s="2" t="str">
        <f>VLOOKUP(D449,CORREOS!$A$2:$B$570,2,FALSE)</f>
        <v>MLEAL@CL.LUCKIA.COM</v>
      </c>
      <c r="H449" s="24" t="str">
        <f>VLOOKUP(A449,'Informe 2025'!$A$5:$C$164,3,FALSE)</f>
        <v>Imagen y servicio</v>
      </c>
      <c r="I449">
        <f>VLOOKUP(H449,'Informe 2025'!$C$6:$M$166,11,FALSE)</f>
        <v>1.5</v>
      </c>
    </row>
    <row r="450" spans="1:9" x14ac:dyDescent="0.25">
      <c r="A450" s="2">
        <v>32</v>
      </c>
      <c r="B450" t="str">
        <f>VLOOKUP(A450,'Informe 2025'!$1:$1048576,2,FALSE)</f>
        <v>MAYO</v>
      </c>
      <c r="C450" t="s">
        <v>339</v>
      </c>
      <c r="D450" s="20" t="str">
        <f>VLOOKUP(C450,ID!$1:$1048576,4,FALSE)</f>
        <v>101938</v>
      </c>
      <c r="E450" s="20" t="str">
        <f>VLOOKUP(C450,ID!$1:$1048576,3,FALSE)</f>
        <v xml:space="preserve"> LORETO ANDREA</v>
      </c>
      <c r="F450" s="20" t="str">
        <f>VLOOKUP(C450,ID!$1:$1048576,2,FALSE)</f>
        <v>FERNANDEZ GONZALEZ</v>
      </c>
      <c r="G450" s="2" t="str">
        <f>VLOOKUP(D450,CORREOS!$A$2:$B$570,2,FALSE)</f>
        <v>LFGONZALEZ@CL.LUCKIA.COM</v>
      </c>
      <c r="H450" s="24" t="str">
        <f>VLOOKUP(A450,'Informe 2025'!$A$5:$C$164,3,FALSE)</f>
        <v>Capsula de prevencion de riesgo</v>
      </c>
      <c r="I450">
        <f>VLOOKUP(H450,'Informe 2025'!$C$6:$M$166,11,FALSE)</f>
        <v>1</v>
      </c>
    </row>
    <row r="451" spans="1:9" x14ac:dyDescent="0.25">
      <c r="A451" s="2">
        <v>32</v>
      </c>
      <c r="B451" t="str">
        <f>VLOOKUP(A451,'Informe 2025'!$1:$1048576,2,FALSE)</f>
        <v>MAYO</v>
      </c>
      <c r="C451" t="s">
        <v>534</v>
      </c>
      <c r="D451" s="20" t="str">
        <f>VLOOKUP(C451,ID!$1:$1048576,4,FALSE)</f>
        <v>102292</v>
      </c>
      <c r="E451" s="20" t="str">
        <f>VLOOKUP(C451,ID!$1:$1048576,3,FALSE)</f>
        <v xml:space="preserve"> ESKARLETT YUBINZA</v>
      </c>
      <c r="F451" s="20" t="str">
        <f>VLOOKUP(C451,ID!$1:$1048576,2,FALSE)</f>
        <v>ZULETA COLQUE</v>
      </c>
      <c r="G451" s="2" t="str">
        <f>VLOOKUP(D451,CORREOS!$A$2:$B$570,2,FALSE)</f>
        <v>EZCOLQUE@CL.LUCKIA.COM</v>
      </c>
      <c r="H451" s="24" t="str">
        <f>VLOOKUP(A451,'Informe 2025'!$A$5:$C$164,3,FALSE)</f>
        <v>Capsula de prevencion de riesgo</v>
      </c>
      <c r="I451">
        <f>VLOOKUP(H451,'Informe 2025'!$C$6:$M$166,11,FALSE)</f>
        <v>1</v>
      </c>
    </row>
    <row r="452" spans="1:9" x14ac:dyDescent="0.25">
      <c r="A452" s="2">
        <v>32</v>
      </c>
      <c r="B452" t="str">
        <f>VLOOKUP(A452,'Informe 2025'!$1:$1048576,2,FALSE)</f>
        <v>MAYO</v>
      </c>
      <c r="C452" t="s">
        <v>283</v>
      </c>
      <c r="D452" s="20" t="str">
        <f>VLOOKUP(C452,ID!$1:$1048576,4,FALSE)</f>
        <v>102996</v>
      </c>
      <c r="E452" s="20" t="str">
        <f>VLOOKUP(C452,ID!$1:$1048576,3,FALSE)</f>
        <v xml:space="preserve"> CATALINA VICTORIA</v>
      </c>
      <c r="F452" s="20" t="str">
        <f>VLOOKUP(C452,ID!$1:$1048576,2,FALSE)</f>
        <v>CABEZAS MENA</v>
      </c>
      <c r="G452" s="2" t="str">
        <f>VLOOKUP(D452,CORREOS!$A$2:$B$570,2,FALSE)</f>
        <v>CCABEZAS@ANTAYHOTELES.CL</v>
      </c>
      <c r="H452" s="24" t="str">
        <f>VLOOKUP(A452,'Informe 2025'!$A$5:$C$164,3,FALSE)</f>
        <v>Capsula de prevencion de riesgo</v>
      </c>
      <c r="I452">
        <f>VLOOKUP(H452,'Informe 2025'!$C$6:$M$166,11,FALSE)</f>
        <v>1</v>
      </c>
    </row>
    <row r="453" spans="1:9" x14ac:dyDescent="0.25">
      <c r="A453" s="2">
        <v>32</v>
      </c>
      <c r="B453" t="str">
        <f>VLOOKUP(A453,'Informe 2025'!$1:$1048576,2,FALSE)</f>
        <v>MAYO</v>
      </c>
      <c r="C453" t="s">
        <v>372</v>
      </c>
      <c r="D453" s="20" t="str">
        <f>VLOOKUP(C453,ID!$1:$1048576,4,FALSE)</f>
        <v>103010</v>
      </c>
      <c r="E453" s="20" t="str">
        <f>VLOOKUP(C453,ID!$1:$1048576,3,FALSE)</f>
        <v xml:space="preserve"> FERNANDO</v>
      </c>
      <c r="F453" s="20" t="str">
        <f>VLOOKUP(C453,ID!$1:$1048576,2,FALSE)</f>
        <v>GONZALEZ OROZCO</v>
      </c>
      <c r="G453" s="2" t="str">
        <f>VLOOKUP(D453,CORREOS!$A$2:$B$570,2,FALSE)</f>
        <v>FGOROZCO@ANTAYHOTELES.CL</v>
      </c>
      <c r="H453" s="24" t="str">
        <f>VLOOKUP(A453,'Informe 2025'!$A$5:$C$164,3,FALSE)</f>
        <v>Capsula de prevencion de riesgo</v>
      </c>
      <c r="I453">
        <f>VLOOKUP(H453,'Informe 2025'!$C$6:$M$166,11,FALSE)</f>
        <v>1</v>
      </c>
    </row>
    <row r="454" spans="1:9" x14ac:dyDescent="0.25">
      <c r="A454" s="2">
        <v>32</v>
      </c>
      <c r="B454" t="str">
        <f>VLOOKUP(A454,'Informe 2025'!$1:$1048576,2,FALSE)</f>
        <v>MAYO</v>
      </c>
      <c r="C454" t="s">
        <v>303</v>
      </c>
      <c r="D454" s="20" t="str">
        <f>VLOOKUP(C454,ID!$1:$1048576,4,FALSE)</f>
        <v>102829</v>
      </c>
      <c r="E454" s="20" t="str">
        <f>VLOOKUP(C454,ID!$1:$1048576,3,FALSE)</f>
        <v xml:space="preserve"> WILSON DENNIS</v>
      </c>
      <c r="F454" s="20" t="str">
        <f>VLOOKUP(C454,ID!$1:$1048576,2,FALSE)</f>
        <v>CASTILLO PEREZ</v>
      </c>
      <c r="G454" s="2" t="str">
        <f>VLOOKUP(D454,CORREOS!$A$2:$B$570,2,FALSE)</f>
        <v>WCASTILLO@CL.LUCKIA.COM</v>
      </c>
      <c r="H454" s="24" t="str">
        <f>VLOOKUP(A454,'Informe 2025'!$A$5:$C$164,3,FALSE)</f>
        <v>Capsula de prevencion de riesgo</v>
      </c>
      <c r="I454">
        <f>VLOOKUP(H454,'Informe 2025'!$C$6:$M$166,11,FALSE)</f>
        <v>1</v>
      </c>
    </row>
    <row r="455" spans="1:9" x14ac:dyDescent="0.25">
      <c r="A455" s="2">
        <v>32</v>
      </c>
      <c r="B455" t="str">
        <f>VLOOKUP(A455,'Informe 2025'!$1:$1048576,2,FALSE)</f>
        <v>MAYO</v>
      </c>
      <c r="C455" t="s">
        <v>390</v>
      </c>
      <c r="D455" s="20" t="str">
        <f>VLOOKUP(C455,ID!$1:$1048576,4,FALSE)</f>
        <v>102642</v>
      </c>
      <c r="E455" s="20" t="str">
        <f>VLOOKUP(C455,ID!$1:$1048576,3,FALSE)</f>
        <v xml:space="preserve"> JOSE LUIS</v>
      </c>
      <c r="F455" s="20" t="str">
        <f>VLOOKUP(C455,ID!$1:$1048576,2,FALSE)</f>
        <v>JIMENEZ VILLALOBOS</v>
      </c>
      <c r="G455" s="2" t="str">
        <f>VLOOKUP(D455,CORREOS!$A$2:$B$570,2,FALSE)</f>
        <v>JJVILLALOBOS@ANTAYHOTELES.CL</v>
      </c>
      <c r="H455" s="24" t="str">
        <f>VLOOKUP(A455,'Informe 2025'!$A$5:$C$164,3,FALSE)</f>
        <v>Capsula de prevencion de riesgo</v>
      </c>
      <c r="I455">
        <f>VLOOKUP(H455,'Informe 2025'!$C$6:$M$166,11,FALSE)</f>
        <v>1</v>
      </c>
    </row>
    <row r="456" spans="1:9" x14ac:dyDescent="0.25">
      <c r="A456" s="2">
        <v>32</v>
      </c>
      <c r="B456" t="str">
        <f>VLOOKUP(A456,'Informe 2025'!$1:$1048576,2,FALSE)</f>
        <v>MAYO</v>
      </c>
      <c r="C456" t="s">
        <v>396</v>
      </c>
      <c r="D456" s="20" t="str">
        <f>VLOOKUP(C456,ID!$1:$1048576,4,FALSE)</f>
        <v>103277</v>
      </c>
      <c r="E456" s="20" t="str">
        <f>VLOOKUP(C456,ID!$1:$1048576,3,FALSE)</f>
        <v xml:space="preserve"> GUNNAR</v>
      </c>
      <c r="F456" s="20" t="str">
        <f>VLOOKUP(C456,ID!$1:$1048576,2,FALSE)</f>
        <v>LEYTON RODAS</v>
      </c>
      <c r="G456" s="2" t="str">
        <f>VLOOKUP(D456,CORREOS!$A$2:$B$570,2,FALSE)</f>
        <v>GLEYTON@ANTAYHOTELES.CL</v>
      </c>
      <c r="H456" s="24" t="str">
        <f>VLOOKUP(A456,'Informe 2025'!$A$5:$C$164,3,FALSE)</f>
        <v>Capsula de prevencion de riesgo</v>
      </c>
      <c r="I456">
        <f>VLOOKUP(H456,'Informe 2025'!$C$6:$M$166,11,FALSE)</f>
        <v>1</v>
      </c>
    </row>
    <row r="457" spans="1:9" x14ac:dyDescent="0.25">
      <c r="A457" s="2">
        <v>32</v>
      </c>
      <c r="B457" t="str">
        <f>VLOOKUP(A457,'Informe 2025'!$1:$1048576,2,FALSE)</f>
        <v>MAYO</v>
      </c>
      <c r="C457" t="s">
        <v>271</v>
      </c>
      <c r="D457" s="20" t="str">
        <f>VLOOKUP(C457,ID!$1:$1048576,4,FALSE)</f>
        <v>102903</v>
      </c>
      <c r="E457" s="20" t="str">
        <f>VLOOKUP(C457,ID!$1:$1048576,3,FALSE)</f>
        <v xml:space="preserve"> KEVIN MARCELO</v>
      </c>
      <c r="F457" s="20" t="str">
        <f>VLOOKUP(C457,ID!$1:$1048576,2,FALSE)</f>
        <v>AROS CASTRO</v>
      </c>
      <c r="G457" s="2" t="str">
        <f>VLOOKUP(D457,CORREOS!$A$2:$B$570,2,FALSE)</f>
        <v>KAROS@ANTAYHOTELES.CL</v>
      </c>
      <c r="H457" s="24" t="str">
        <f>VLOOKUP(A457,'Informe 2025'!$A$5:$C$164,3,FALSE)</f>
        <v>Capsula de prevencion de riesgo</v>
      </c>
      <c r="I457">
        <f>VLOOKUP(H457,'Informe 2025'!$C$6:$M$166,11,FALSE)</f>
        <v>1</v>
      </c>
    </row>
    <row r="458" spans="1:9" x14ac:dyDescent="0.25">
      <c r="A458" s="2">
        <v>32</v>
      </c>
      <c r="B458" t="str">
        <f>VLOOKUP(A458,'Informe 2025'!$1:$1048576,2,FALSE)</f>
        <v>MAYO</v>
      </c>
      <c r="C458" t="s">
        <v>274</v>
      </c>
      <c r="D458" s="20" t="str">
        <f>VLOOKUP(C458,ID!$1:$1048576,4,FALSE)</f>
        <v>103084</v>
      </c>
      <c r="E458" s="20" t="str">
        <f>VLOOKUP(C458,ID!$1:$1048576,3,FALSE)</f>
        <v xml:space="preserve"> BASTIAN ANDRES</v>
      </c>
      <c r="F458" s="20" t="str">
        <f>VLOOKUP(C458,ID!$1:$1048576,2,FALSE)</f>
        <v>ARRIAGADA PALTA</v>
      </c>
      <c r="G458" s="2" t="str">
        <f>VLOOKUP(D458,CORREOS!$A$2:$B$570,2,FALSE)</f>
        <v>BARRIAGADA@ANTAYHOTELES.CL</v>
      </c>
      <c r="H458" s="24" t="str">
        <f>VLOOKUP(A458,'Informe 2025'!$A$5:$C$164,3,FALSE)</f>
        <v>Capsula de prevencion de riesgo</v>
      </c>
      <c r="I458">
        <f>VLOOKUP(H458,'Informe 2025'!$C$6:$M$166,11,FALSE)</f>
        <v>1</v>
      </c>
    </row>
    <row r="459" spans="1:9" x14ac:dyDescent="0.25">
      <c r="A459" s="2">
        <v>32</v>
      </c>
      <c r="B459" t="str">
        <f>VLOOKUP(A459,'Informe 2025'!$1:$1048576,2,FALSE)</f>
        <v>MAYO</v>
      </c>
      <c r="C459" t="s">
        <v>314</v>
      </c>
      <c r="D459" s="20" t="str">
        <f>VLOOKUP(C459,ID!$1:$1048576,4,FALSE)</f>
        <v>102849</v>
      </c>
      <c r="E459" s="20" t="str">
        <f>VLOOKUP(C459,ID!$1:$1048576,3,FALSE)</f>
        <v xml:space="preserve"> CRISTOBAL HUMBERTO</v>
      </c>
      <c r="F459" s="20" t="str">
        <f>VLOOKUP(C459,ID!$1:$1048576,2,FALSE)</f>
        <v>CONDORI CARVAJAL</v>
      </c>
      <c r="G459" s="2" t="str">
        <f>VLOOKUP(D459,CORREOS!$A$2:$B$570,2,FALSE)</f>
        <v>CCONDORI@ANTAYHOTELES.CL</v>
      </c>
      <c r="H459" s="24" t="str">
        <f>VLOOKUP(A459,'Informe 2025'!$A$5:$C$164,3,FALSE)</f>
        <v>Capsula de prevencion de riesgo</v>
      </c>
      <c r="I459">
        <f>VLOOKUP(H459,'Informe 2025'!$C$6:$M$166,11,FALSE)</f>
        <v>1</v>
      </c>
    </row>
    <row r="460" spans="1:9" x14ac:dyDescent="0.25">
      <c r="A460" s="2">
        <v>33</v>
      </c>
      <c r="B460" t="str">
        <f>VLOOKUP(A460,'Informe 2025'!$1:$1048576,2,FALSE)</f>
        <v>MAYO</v>
      </c>
      <c r="C460" t="s">
        <v>426</v>
      </c>
      <c r="D460" s="20" t="str">
        <f>VLOOKUP(C460,ID!$1:$1048576,4,FALSE)</f>
        <v>101863</v>
      </c>
      <c r="E460" s="20" t="str">
        <f>VLOOKUP(C460,ID!$1:$1048576,3,FALSE)</f>
        <v xml:space="preserve"> ANA MARIA</v>
      </c>
      <c r="F460" s="20" t="str">
        <f>VLOOKUP(C460,ID!$1:$1048576,2,FALSE)</f>
        <v>MONTECINOS SALINAS</v>
      </c>
      <c r="G460" s="2" t="str">
        <f>VLOOKUP(D460,CORREOS!$A$2:$B$570,2,FALSE)</f>
        <v>AMONTECINOS@ANTAYHOTELES.CL</v>
      </c>
      <c r="H460" s="24" t="str">
        <f>VLOOKUP(A460,'Informe 2025'!$A$5:$C$164,3,FALSE)</f>
        <v>Cierre Programa Tutor</v>
      </c>
      <c r="I460">
        <f>VLOOKUP(H460,'Informe 2025'!$C$6:$M$166,11,FALSE)</f>
        <v>1</v>
      </c>
    </row>
    <row r="461" spans="1:9" x14ac:dyDescent="0.25">
      <c r="A461" s="2">
        <v>33</v>
      </c>
      <c r="B461" t="str">
        <f>VLOOKUP(A461,'Informe 2025'!$1:$1048576,2,FALSE)</f>
        <v>MAYO</v>
      </c>
      <c r="C461" t="s">
        <v>517</v>
      </c>
      <c r="D461" s="20" t="str">
        <f>VLOOKUP(C461,ID!$1:$1048576,4,FALSE)</f>
        <v>102350</v>
      </c>
      <c r="E461" s="20" t="str">
        <f>VLOOKUP(C461,ID!$1:$1048576,3,FALSE)</f>
        <v xml:space="preserve"> NICOLE ANDREA</v>
      </c>
      <c r="F461" s="20" t="str">
        <f>VLOOKUP(C461,ID!$1:$1048576,2,FALSE)</f>
        <v>URRUTIA ACUÑA</v>
      </c>
      <c r="G461" s="2" t="str">
        <f>VLOOKUP(D461,CORREOS!$A$2:$B$570,2,FALSE)</f>
        <v>NURRUTIA@ANTAYHOTELES.CL</v>
      </c>
      <c r="H461" s="24" t="str">
        <f>VLOOKUP(A461,'Informe 2025'!$A$5:$C$164,3,FALSE)</f>
        <v>Cierre Programa Tutor</v>
      </c>
      <c r="I461">
        <f>VLOOKUP(H461,'Informe 2025'!$C$6:$M$166,11,FALSE)</f>
        <v>1</v>
      </c>
    </row>
    <row r="462" spans="1:9" x14ac:dyDescent="0.25">
      <c r="A462" s="2">
        <v>33</v>
      </c>
      <c r="B462" t="str">
        <f>VLOOKUP(A462,'Informe 2025'!$1:$1048576,2,FALSE)</f>
        <v>MAYO</v>
      </c>
      <c r="C462" t="s">
        <v>360</v>
      </c>
      <c r="D462" s="20" t="str">
        <f>VLOOKUP(C462,ID!$1:$1048576,4,FALSE)</f>
        <v>100753</v>
      </c>
      <c r="E462" s="20" t="str">
        <f>VLOOKUP(C462,ID!$1:$1048576,3,FALSE)</f>
        <v xml:space="preserve"> DIEGO ANTONIO</v>
      </c>
      <c r="F462" s="20" t="str">
        <f>VLOOKUP(C462,ID!$1:$1048576,2,FALSE)</f>
        <v>GODOY PEÑA</v>
      </c>
      <c r="G462" s="2" t="str">
        <f>VLOOKUP(D462,CORREOS!$A$2:$B$570,2,FALSE)</f>
        <v>DIEGO.GODOY@CL.LUCKIA.COM</v>
      </c>
      <c r="H462" s="24" t="str">
        <f>VLOOKUP(A462,'Informe 2025'!$A$5:$C$164,3,FALSE)</f>
        <v>Cierre Programa Tutor</v>
      </c>
      <c r="I462">
        <f>VLOOKUP(H462,'Informe 2025'!$C$6:$M$166,11,FALSE)</f>
        <v>1</v>
      </c>
    </row>
    <row r="463" spans="1:9" x14ac:dyDescent="0.25">
      <c r="A463" s="2">
        <v>33</v>
      </c>
      <c r="B463" t="str">
        <f>VLOOKUP(A463,'Informe 2025'!$1:$1048576,2,FALSE)</f>
        <v>MAYO</v>
      </c>
      <c r="C463" t="s">
        <v>283</v>
      </c>
      <c r="D463" s="20" t="str">
        <f>VLOOKUP(C463,ID!$1:$1048576,4,FALSE)</f>
        <v>102996</v>
      </c>
      <c r="E463" s="20" t="str">
        <f>VLOOKUP(C463,ID!$1:$1048576,3,FALSE)</f>
        <v xml:space="preserve"> CATALINA VICTORIA</v>
      </c>
      <c r="F463" s="20" t="str">
        <f>VLOOKUP(C463,ID!$1:$1048576,2,FALSE)</f>
        <v>CABEZAS MENA</v>
      </c>
      <c r="G463" s="2" t="str">
        <f>VLOOKUP(D463,CORREOS!$A$2:$B$570,2,FALSE)</f>
        <v>CCABEZAS@ANTAYHOTELES.CL</v>
      </c>
      <c r="H463" s="24" t="str">
        <f>VLOOKUP(A463,'Informe 2025'!$A$5:$C$164,3,FALSE)</f>
        <v>Cierre Programa Tutor</v>
      </c>
      <c r="I463">
        <f>VLOOKUP(H463,'Informe 2025'!$C$6:$M$166,11,FALSE)</f>
        <v>1</v>
      </c>
    </row>
    <row r="464" spans="1:9" x14ac:dyDescent="0.25">
      <c r="A464" s="2">
        <v>33</v>
      </c>
      <c r="B464" t="str">
        <f>VLOOKUP(A464,'Informe 2025'!$1:$1048576,2,FALSE)</f>
        <v>MAYO</v>
      </c>
      <c r="C464" t="s">
        <v>314</v>
      </c>
      <c r="D464" s="20" t="str">
        <f>VLOOKUP(C464,ID!$1:$1048576,4,FALSE)</f>
        <v>102849</v>
      </c>
      <c r="E464" s="20" t="str">
        <f>VLOOKUP(C464,ID!$1:$1048576,3,FALSE)</f>
        <v xml:space="preserve"> CRISTOBAL HUMBERTO</v>
      </c>
      <c r="F464" s="20" t="str">
        <f>VLOOKUP(C464,ID!$1:$1048576,2,FALSE)</f>
        <v>CONDORI CARVAJAL</v>
      </c>
      <c r="G464" s="2" t="str">
        <f>VLOOKUP(D464,CORREOS!$A$2:$B$570,2,FALSE)</f>
        <v>CCONDORI@ANTAYHOTELES.CL</v>
      </c>
      <c r="H464" s="24" t="str">
        <f>VLOOKUP(A464,'Informe 2025'!$A$5:$C$164,3,FALSE)</f>
        <v>Cierre Programa Tutor</v>
      </c>
      <c r="I464">
        <f>VLOOKUP(H464,'Informe 2025'!$C$6:$M$166,11,FALSE)</f>
        <v>1</v>
      </c>
    </row>
    <row r="465" spans="1:9" x14ac:dyDescent="0.25">
      <c r="A465" s="2">
        <v>33</v>
      </c>
      <c r="B465" t="str">
        <f>VLOOKUP(A465,'Informe 2025'!$1:$1048576,2,FALSE)</f>
        <v>MAYO</v>
      </c>
      <c r="C465" t="s">
        <v>372</v>
      </c>
      <c r="D465" s="20" t="str">
        <f>VLOOKUP(C465,ID!$1:$1048576,4,FALSE)</f>
        <v>103010</v>
      </c>
      <c r="E465" s="20" t="str">
        <f>VLOOKUP(C465,ID!$1:$1048576,3,FALSE)</f>
        <v xml:space="preserve"> FERNANDO</v>
      </c>
      <c r="F465" s="20" t="str">
        <f>VLOOKUP(C465,ID!$1:$1048576,2,FALSE)</f>
        <v>GONZALEZ OROZCO</v>
      </c>
      <c r="G465" s="2" t="str">
        <f>VLOOKUP(D465,CORREOS!$A$2:$B$570,2,FALSE)</f>
        <v>FGOROZCO@ANTAYHOTELES.CL</v>
      </c>
      <c r="H465" s="24" t="str">
        <f>VLOOKUP(A465,'Informe 2025'!$A$5:$C$164,3,FALSE)</f>
        <v>Cierre Programa Tutor</v>
      </c>
      <c r="I465">
        <f>VLOOKUP(H465,'Informe 2025'!$C$6:$M$166,11,FALSE)</f>
        <v>1</v>
      </c>
    </row>
    <row r="466" spans="1:9" x14ac:dyDescent="0.25">
      <c r="A466" s="2">
        <v>33</v>
      </c>
      <c r="B466" t="str">
        <f>VLOOKUP(A466,'Informe 2025'!$1:$1048576,2,FALSE)</f>
        <v>MAYO</v>
      </c>
      <c r="C466" t="s">
        <v>395</v>
      </c>
      <c r="D466" s="20" t="str">
        <f>VLOOKUP(C466,ID!$1:$1048576,4,FALSE)</f>
        <v>102063</v>
      </c>
      <c r="E466" s="20" t="str">
        <f>VLOOKUP(C466,ID!$1:$1048576,3,FALSE)</f>
        <v xml:space="preserve"> MICHELLE ANNETTE</v>
      </c>
      <c r="F466" s="20" t="str">
        <f>VLOOKUP(C466,ID!$1:$1048576,2,FALSE)</f>
        <v>LEAL LEYTON</v>
      </c>
      <c r="G466" s="2" t="str">
        <f>VLOOKUP(D466,CORREOS!$A$2:$B$570,2,FALSE)</f>
        <v>MLEAL@CL.LUCKIA.COM</v>
      </c>
      <c r="H466" s="24" t="str">
        <f>VLOOKUP(A466,'Informe 2025'!$A$5:$C$164,3,FALSE)</f>
        <v>Cierre Programa Tutor</v>
      </c>
      <c r="I466">
        <f>VLOOKUP(H466,'Informe 2025'!$C$6:$M$166,11,FALSE)</f>
        <v>1</v>
      </c>
    </row>
    <row r="467" spans="1:9" x14ac:dyDescent="0.25">
      <c r="A467" s="2">
        <v>33</v>
      </c>
      <c r="B467" t="str">
        <f>VLOOKUP(A467,'Informe 2025'!$1:$1048576,2,FALSE)</f>
        <v>MAYO</v>
      </c>
      <c r="C467" t="s">
        <v>339</v>
      </c>
      <c r="D467" s="20" t="str">
        <f>VLOOKUP(C467,ID!$1:$1048576,4,FALSE)</f>
        <v>101938</v>
      </c>
      <c r="E467" s="20" t="str">
        <f>VLOOKUP(C467,ID!$1:$1048576,3,FALSE)</f>
        <v xml:space="preserve"> LORETO ANDREA</v>
      </c>
      <c r="F467" s="20" t="str">
        <f>VLOOKUP(C467,ID!$1:$1048576,2,FALSE)</f>
        <v>FERNANDEZ GONZALEZ</v>
      </c>
      <c r="G467" s="2" t="str">
        <f>VLOOKUP(D467,CORREOS!$A$2:$B$570,2,FALSE)</f>
        <v>LFGONZALEZ@CL.LUCKIA.COM</v>
      </c>
      <c r="H467" s="24" t="str">
        <f>VLOOKUP(A467,'Informe 2025'!$A$5:$C$164,3,FALSE)</f>
        <v>Cierre Programa Tutor</v>
      </c>
      <c r="I467">
        <f>VLOOKUP(H467,'Informe 2025'!$C$6:$M$166,11,FALSE)</f>
        <v>1</v>
      </c>
    </row>
    <row r="468" spans="1:9" x14ac:dyDescent="0.25">
      <c r="A468" s="2">
        <v>33</v>
      </c>
      <c r="B468" t="str">
        <f>VLOOKUP(A468,'Informe 2025'!$1:$1048576,2,FALSE)</f>
        <v>MAYO</v>
      </c>
      <c r="C468" t="s">
        <v>534</v>
      </c>
      <c r="D468" s="20" t="str">
        <f>VLOOKUP(C468,ID!$1:$1048576,4,FALSE)</f>
        <v>102292</v>
      </c>
      <c r="E468" s="20" t="str">
        <f>VLOOKUP(C468,ID!$1:$1048576,3,FALSE)</f>
        <v xml:space="preserve"> ESKARLETT YUBINZA</v>
      </c>
      <c r="F468" s="20" t="str">
        <f>VLOOKUP(C468,ID!$1:$1048576,2,FALSE)</f>
        <v>ZULETA COLQUE</v>
      </c>
      <c r="G468" s="2" t="str">
        <f>VLOOKUP(D468,CORREOS!$A$2:$B$570,2,FALSE)</f>
        <v>EZCOLQUE@CL.LUCKIA.COM</v>
      </c>
      <c r="H468" s="24" t="str">
        <f>VLOOKUP(A468,'Informe 2025'!$A$5:$C$164,3,FALSE)</f>
        <v>Cierre Programa Tutor</v>
      </c>
      <c r="I468">
        <f>VLOOKUP(H468,'Informe 2025'!$C$6:$M$166,11,FALSE)</f>
        <v>1</v>
      </c>
    </row>
    <row r="469" spans="1:9" x14ac:dyDescent="0.25">
      <c r="A469" s="2">
        <v>33</v>
      </c>
      <c r="B469" t="str">
        <f>VLOOKUP(A469,'Informe 2025'!$1:$1048576,2,FALSE)</f>
        <v>MAYO</v>
      </c>
      <c r="C469" t="s">
        <v>271</v>
      </c>
      <c r="D469" s="20" t="str">
        <f>VLOOKUP(C469,ID!$1:$1048576,4,FALSE)</f>
        <v>102903</v>
      </c>
      <c r="E469" s="20" t="str">
        <f>VLOOKUP(C469,ID!$1:$1048576,3,FALSE)</f>
        <v xml:space="preserve"> KEVIN MARCELO</v>
      </c>
      <c r="F469" s="20" t="str">
        <f>VLOOKUP(C469,ID!$1:$1048576,2,FALSE)</f>
        <v>AROS CASTRO</v>
      </c>
      <c r="G469" s="2" t="str">
        <f>VLOOKUP(D469,CORREOS!$A$2:$B$570,2,FALSE)</f>
        <v>KAROS@ANTAYHOTELES.CL</v>
      </c>
      <c r="H469" s="24" t="str">
        <f>VLOOKUP(A469,'Informe 2025'!$A$5:$C$164,3,FALSE)</f>
        <v>Cierre Programa Tutor</v>
      </c>
      <c r="I469">
        <f>VLOOKUP(H469,'Informe 2025'!$C$6:$M$166,11,FALSE)</f>
        <v>1</v>
      </c>
    </row>
    <row r="470" spans="1:9" x14ac:dyDescent="0.25">
      <c r="A470" s="2">
        <v>33</v>
      </c>
      <c r="B470" t="str">
        <f>VLOOKUP(A470,'Informe 2025'!$1:$1048576,2,FALSE)</f>
        <v>MAYO</v>
      </c>
      <c r="C470" t="s">
        <v>300</v>
      </c>
      <c r="D470" s="20" t="str">
        <f>VLOOKUP(C470,ID!$1:$1048576,4,FALSE)</f>
        <v>101568</v>
      </c>
      <c r="E470" s="20" t="str">
        <f>VLOOKUP(C470,ID!$1:$1048576,3,FALSE)</f>
        <v xml:space="preserve"> FERNANDA BEATRIZ</v>
      </c>
      <c r="F470" s="20" t="str">
        <f>VLOOKUP(C470,ID!$1:$1048576,2,FALSE)</f>
        <v>CARVAJAL MEDINA</v>
      </c>
      <c r="G470" s="2" t="str">
        <f>VLOOKUP(D470,CORREOS!$A$2:$B$570,2,FALSE)</f>
        <v>FERNANDABEATRIZ.CARVAJAL@ANTAYHOTELES.CL</v>
      </c>
      <c r="H470" s="24" t="str">
        <f>VLOOKUP(A470,'Informe 2025'!$A$5:$C$164,3,FALSE)</f>
        <v>Cierre Programa Tutor</v>
      </c>
      <c r="I470">
        <f>VLOOKUP(H470,'Informe 2025'!$C$6:$M$166,11,FALSE)</f>
        <v>1</v>
      </c>
    </row>
    <row r="471" spans="1:9" x14ac:dyDescent="0.25">
      <c r="A471" s="2">
        <v>33</v>
      </c>
      <c r="B471" t="str">
        <f>VLOOKUP(A471,'Informe 2025'!$1:$1048576,2,FALSE)</f>
        <v>MAYO</v>
      </c>
      <c r="C471" t="s">
        <v>248</v>
      </c>
      <c r="D471" s="20" t="str">
        <f>VLOOKUP(C471,ID!$1:$1048576,4,FALSE)</f>
        <v>102546</v>
      </c>
      <c r="E471" s="20" t="str">
        <f>VLOOKUP(C471,ID!$1:$1048576,3,FALSE)</f>
        <v xml:space="preserve"> NICOLAS</v>
      </c>
      <c r="F471" s="20" t="str">
        <f>VLOOKUP(C471,ID!$1:$1048576,2,FALSE)</f>
        <v>ALARCON LAVIN</v>
      </c>
      <c r="G471" s="2" t="str">
        <f>VLOOKUP(D471,CORREOS!$A$2:$B$570,2,FALSE)</f>
        <v>NALARCON@ANTAYHOTELES.CL</v>
      </c>
      <c r="H471" s="24" t="str">
        <f>VLOOKUP(A471,'Informe 2025'!$A$5:$C$164,3,FALSE)</f>
        <v>Cierre Programa Tutor</v>
      </c>
      <c r="I471">
        <f>VLOOKUP(H471,'Informe 2025'!$C$6:$M$166,11,FALSE)</f>
        <v>1</v>
      </c>
    </row>
    <row r="472" spans="1:9" x14ac:dyDescent="0.25">
      <c r="A472" s="2">
        <v>33</v>
      </c>
      <c r="B472" t="str">
        <f>VLOOKUP(A472,'Informe 2025'!$1:$1048576,2,FALSE)</f>
        <v>MAYO</v>
      </c>
      <c r="C472" t="s">
        <v>313</v>
      </c>
      <c r="D472" s="20" t="str">
        <f>VLOOKUP(C472,ID!$1:$1048576,4,FALSE)</f>
        <v>102260</v>
      </c>
      <c r="E472" s="20" t="str">
        <f>VLOOKUP(C472,ID!$1:$1048576,3,FALSE)</f>
        <v xml:space="preserve"> DANILO ALEXIS</v>
      </c>
      <c r="F472" s="20" t="str">
        <f>VLOOKUP(C472,ID!$1:$1048576,2,FALSE)</f>
        <v>CLAVERIE ROJAS</v>
      </c>
      <c r="G472" s="2" t="str">
        <f>VLOOKUP(D472,CORREOS!$A$2:$B$570,2,FALSE)</f>
        <v>DCLAVERIE@ANTAYHOTELES.CL</v>
      </c>
      <c r="H472" s="24" t="str">
        <f>VLOOKUP(A472,'Informe 2025'!$A$5:$C$164,3,FALSE)</f>
        <v>Cierre Programa Tutor</v>
      </c>
      <c r="I472">
        <f>VLOOKUP(H472,'Informe 2025'!$C$6:$M$166,11,FALSE)</f>
        <v>1</v>
      </c>
    </row>
    <row r="473" spans="1:9" x14ac:dyDescent="0.25">
      <c r="A473" s="2">
        <v>33</v>
      </c>
      <c r="B473" t="str">
        <f>VLOOKUP(A473,'Informe 2025'!$1:$1048576,2,FALSE)</f>
        <v>MAYO</v>
      </c>
      <c r="C473" t="s">
        <v>359</v>
      </c>
      <c r="D473" s="20" t="str">
        <f>VLOOKUP(C473,ID!$1:$1048576,4,FALSE)</f>
        <v>103714</v>
      </c>
      <c r="E473" s="20" t="str">
        <f>VLOOKUP(C473,ID!$1:$1048576,3,FALSE)</f>
        <v xml:space="preserve"> RENATO IGNACIO</v>
      </c>
      <c r="F473" s="20" t="str">
        <f>VLOOKUP(C473,ID!$1:$1048576,2,FALSE)</f>
        <v>GODOY BUGUEÑO</v>
      </c>
      <c r="G473" s="2" t="str">
        <f>VLOOKUP(D473,CORREOS!$A$2:$B$570,2,FALSE)</f>
        <v>RGBUGUENO@ANTAYHOTELES.CL</v>
      </c>
      <c r="H473" s="24" t="str">
        <f>VLOOKUP(A473,'Informe 2025'!$A$5:$C$164,3,FALSE)</f>
        <v>Cierre Programa Tutor</v>
      </c>
      <c r="I473">
        <f>VLOOKUP(H473,'Informe 2025'!$C$6:$M$166,11,FALSE)</f>
        <v>1</v>
      </c>
    </row>
    <row r="474" spans="1:9" x14ac:dyDescent="0.25">
      <c r="A474" s="2">
        <v>33</v>
      </c>
      <c r="B474" t="str">
        <f>VLOOKUP(A474,'Informe 2025'!$1:$1048576,2,FALSE)</f>
        <v>MAYO</v>
      </c>
      <c r="C474" t="s">
        <v>274</v>
      </c>
      <c r="D474" s="20" t="str">
        <f>VLOOKUP(C474,ID!$1:$1048576,4,FALSE)</f>
        <v>103084</v>
      </c>
      <c r="E474" s="20" t="str">
        <f>VLOOKUP(C474,ID!$1:$1048576,3,FALSE)</f>
        <v xml:space="preserve"> BASTIAN ANDRES</v>
      </c>
      <c r="F474" s="20" t="str">
        <f>VLOOKUP(C474,ID!$1:$1048576,2,FALSE)</f>
        <v>ARRIAGADA PALTA</v>
      </c>
      <c r="G474" s="2" t="str">
        <f>VLOOKUP(D474,CORREOS!$A$2:$B$570,2,FALSE)</f>
        <v>BARRIAGADA@ANTAYHOTELES.CL</v>
      </c>
      <c r="H474" s="24" t="str">
        <f>VLOOKUP(A474,'Informe 2025'!$A$5:$C$164,3,FALSE)</f>
        <v>Cierre Programa Tutor</v>
      </c>
      <c r="I474">
        <f>VLOOKUP(H474,'Informe 2025'!$C$6:$M$166,11,FALSE)</f>
        <v>1</v>
      </c>
    </row>
    <row r="475" spans="1:9" x14ac:dyDescent="0.25">
      <c r="A475" s="2">
        <v>33</v>
      </c>
      <c r="B475" t="str">
        <f>VLOOKUP(A475,'Informe 2025'!$1:$1048576,2,FALSE)</f>
        <v>MAYO</v>
      </c>
      <c r="C475" t="s">
        <v>419</v>
      </c>
      <c r="D475" s="20" t="str">
        <f>VLOOKUP(C475,ID!$1:$1048576,4,FALSE)</f>
        <v>103074</v>
      </c>
      <c r="E475" s="20" t="str">
        <f>VLOOKUP(C475,ID!$1:$1048576,3,FALSE)</f>
        <v xml:space="preserve"> JOHANN</v>
      </c>
      <c r="F475" s="20" t="str">
        <f>VLOOKUP(C475,ID!$1:$1048576,2,FALSE)</f>
        <v>MIRANDA VIZA</v>
      </c>
      <c r="G475" s="2" t="str">
        <f>VLOOKUP(D475,CORREOS!$A$2:$B$570,2,FALSE)</f>
        <v>JMVIZA@ANTAYHOTELES.CL</v>
      </c>
      <c r="H475" s="24" t="str">
        <f>VLOOKUP(A475,'Informe 2025'!$A$5:$C$164,3,FALSE)</f>
        <v>Cierre Programa Tutor</v>
      </c>
      <c r="I475">
        <f>VLOOKUP(H475,'Informe 2025'!$C$6:$M$166,11,FALSE)</f>
        <v>1</v>
      </c>
    </row>
    <row r="476" spans="1:9" x14ac:dyDescent="0.25">
      <c r="A476" s="2">
        <v>33</v>
      </c>
      <c r="B476" t="str">
        <f>VLOOKUP(A476,'Informe 2025'!$1:$1048576,2,FALSE)</f>
        <v>MAYO</v>
      </c>
      <c r="C476" t="s">
        <v>1916</v>
      </c>
      <c r="D476" s="20" t="str">
        <f>VLOOKUP(C476,ID!$1:$1048576,4,FALSE)</f>
        <v>102121</v>
      </c>
      <c r="E476" s="20" t="str">
        <f>VLOOKUP(C476,ID!$1:$1048576,3,FALSE)</f>
        <v xml:space="preserve"> EMMA JOANNE</v>
      </c>
      <c r="F476" s="20" t="str">
        <f>VLOOKUP(C476,ID!$1:$1048576,2,FALSE)</f>
        <v>VASQUEZ CASANOBA</v>
      </c>
      <c r="G476" s="2" t="str">
        <f>VLOOKUP(D476,CORREOS!$A$2:$B$570,2,FALSE)</f>
        <v>EVCASANOBA@CL.LUCKIA.COM</v>
      </c>
      <c r="H476" s="24" t="str">
        <f>VLOOKUP(A476,'Informe 2025'!$A$5:$C$164,3,FALSE)</f>
        <v>Cierre Programa Tutor</v>
      </c>
      <c r="I476">
        <f>VLOOKUP(H476,'Informe 2025'!$C$6:$M$166,11,FALSE)</f>
        <v>1</v>
      </c>
    </row>
    <row r="477" spans="1:9" x14ac:dyDescent="0.25">
      <c r="A477" s="2">
        <v>33</v>
      </c>
      <c r="B477" t="str">
        <f>VLOOKUP(A477,'Informe 2025'!$1:$1048576,2,FALSE)</f>
        <v>MAYO</v>
      </c>
      <c r="C477" t="s">
        <v>303</v>
      </c>
      <c r="D477" s="20" t="str">
        <f>VLOOKUP(C477,ID!$1:$1048576,4,FALSE)</f>
        <v>102829</v>
      </c>
      <c r="E477" s="20" t="str">
        <f>VLOOKUP(C477,ID!$1:$1048576,3,FALSE)</f>
        <v xml:space="preserve"> WILSON DENNIS</v>
      </c>
      <c r="F477" s="20" t="str">
        <f>VLOOKUP(C477,ID!$1:$1048576,2,FALSE)</f>
        <v>CASTILLO PEREZ</v>
      </c>
      <c r="G477" s="2" t="str">
        <f>VLOOKUP(D477,CORREOS!$A$2:$B$570,2,FALSE)</f>
        <v>WCASTILLO@CL.LUCKIA.COM</v>
      </c>
      <c r="H477" s="24" t="str">
        <f>VLOOKUP(A477,'Informe 2025'!$A$5:$C$164,3,FALSE)</f>
        <v>Cierre Programa Tutor</v>
      </c>
      <c r="I477">
        <f>VLOOKUP(H477,'Informe 2025'!$C$6:$M$166,11,FALSE)</f>
        <v>1</v>
      </c>
    </row>
    <row r="478" spans="1:9" x14ac:dyDescent="0.25">
      <c r="A478" s="2">
        <v>33</v>
      </c>
      <c r="B478" t="str">
        <f>VLOOKUP(A478,'Informe 2025'!$1:$1048576,2,FALSE)</f>
        <v>MAYO</v>
      </c>
      <c r="C478" t="s">
        <v>290</v>
      </c>
      <c r="D478" s="20" t="str">
        <f>VLOOKUP(C478,ID!$1:$1048576,4,FALSE)</f>
        <v>101522</v>
      </c>
      <c r="E478" s="20" t="str">
        <f>VLOOKUP(C478,ID!$1:$1048576,3,FALSE)</f>
        <v xml:space="preserve"> ADAN MOISES</v>
      </c>
      <c r="F478" s="20" t="str">
        <f>VLOOKUP(C478,ID!$1:$1048576,2,FALSE)</f>
        <v>CARRASCO ANABALON</v>
      </c>
      <c r="G478" s="2" t="str">
        <f>VLOOKUP(D478,CORREOS!$A$2:$B$570,2,FALSE)</f>
        <v>ADANMOISES.CARRASCO@CL.LUCKIA.COM</v>
      </c>
      <c r="H478" s="24" t="str">
        <f>VLOOKUP(A478,'Informe 2025'!$A$5:$C$164,3,FALSE)</f>
        <v>Cierre Programa Tutor</v>
      </c>
      <c r="I478">
        <f>VLOOKUP(H478,'Informe 2025'!$C$6:$M$166,11,FALSE)</f>
        <v>1</v>
      </c>
    </row>
    <row r="479" spans="1:9" x14ac:dyDescent="0.25">
      <c r="A479" s="2">
        <v>33</v>
      </c>
      <c r="B479" t="str">
        <f>VLOOKUP(A479,'Informe 2025'!$1:$1048576,2,FALSE)</f>
        <v>MAYO</v>
      </c>
      <c r="C479" t="s">
        <v>437</v>
      </c>
      <c r="D479" s="20" t="str">
        <f>VLOOKUP(C479,ID!$1:$1048576,4,FALSE)</f>
        <v>102382</v>
      </c>
      <c r="E479" s="20" t="str">
        <f>VLOOKUP(C479,ID!$1:$1048576,3,FALSE)</f>
        <v xml:space="preserve"> NATALIA ISABEL</v>
      </c>
      <c r="F479" s="20" t="str">
        <f>VLOOKUP(C479,ID!$1:$1048576,2,FALSE)</f>
        <v>NOVOA AGUILERA</v>
      </c>
      <c r="G479" s="2" t="str">
        <f>VLOOKUP(D479,CORREOS!$A$2:$B$570,2,FALSE)</f>
        <v>NNOVOA@ANTAYHOTELES.CL</v>
      </c>
      <c r="H479" s="24" t="str">
        <f>VLOOKUP(A479,'Informe 2025'!$A$5:$C$164,3,FALSE)</f>
        <v>Cierre Programa Tutor</v>
      </c>
      <c r="I479">
        <f>VLOOKUP(H479,'Informe 2025'!$C$6:$M$166,11,FALSE)</f>
        <v>1</v>
      </c>
    </row>
    <row r="480" spans="1:9" x14ac:dyDescent="0.25">
      <c r="A480" s="2">
        <v>33</v>
      </c>
      <c r="B480" t="str">
        <f>VLOOKUP(A480,'Informe 2025'!$1:$1048576,2,FALSE)</f>
        <v>MAYO</v>
      </c>
      <c r="C480" t="s">
        <v>450</v>
      </c>
      <c r="D480" s="20" t="str">
        <f>VLOOKUP(C480,ID!$1:$1048576,4,FALSE)</f>
        <v>101327</v>
      </c>
      <c r="E480" s="20" t="str">
        <f>VLOOKUP(C480,ID!$1:$1048576,3,FALSE)</f>
        <v xml:space="preserve"> JOSE ARTURO</v>
      </c>
      <c r="F480" s="20" t="str">
        <f>VLOOKUP(C480,ID!$1:$1048576,2,FALSE)</f>
        <v>PADILLA LAZARO</v>
      </c>
      <c r="G480" s="2" t="str">
        <f>VLOOKUP(D480,CORREOS!$A$2:$B$570,2,FALSE)</f>
        <v>JOSE.PADILLA@CL.LUCKIA.COM</v>
      </c>
      <c r="H480" s="24" t="str">
        <f>VLOOKUP(A480,'Informe 2025'!$A$5:$C$164,3,FALSE)</f>
        <v>Cierre Programa Tutor</v>
      </c>
      <c r="I480">
        <f>VLOOKUP(H480,'Informe 2025'!$C$6:$M$166,11,FALSE)</f>
        <v>1</v>
      </c>
    </row>
    <row r="481" spans="1:9" x14ac:dyDescent="0.25">
      <c r="A481" s="2">
        <v>33</v>
      </c>
      <c r="B481" t="str">
        <f>VLOOKUP(A481,'Informe 2025'!$1:$1048576,2,FALSE)</f>
        <v>MAYO</v>
      </c>
      <c r="C481" t="s">
        <v>374</v>
      </c>
      <c r="D481" s="20" t="str">
        <f>VLOOKUP(C481,ID!$1:$1048576,4,FALSE)</f>
        <v>101807</v>
      </c>
      <c r="E481" s="20" t="str">
        <f>VLOOKUP(C481,ID!$1:$1048576,3,FALSE)</f>
        <v xml:space="preserve"> MIGUEL PATRICIO</v>
      </c>
      <c r="F481" s="20" t="str">
        <f>VLOOKUP(C481,ID!$1:$1048576,2,FALSE)</f>
        <v>GONZALEZ TORRES</v>
      </c>
      <c r="G481" s="2" t="str">
        <f>VLOOKUP(D481,CORREOS!$A$2:$B$570,2,FALSE)</f>
        <v>MIGUEL.GONZALEZ@CL.LUCKIA.COM</v>
      </c>
      <c r="H481" s="24" t="str">
        <f>VLOOKUP(A481,'Informe 2025'!$A$5:$C$164,3,FALSE)</f>
        <v>Cierre Programa Tutor</v>
      </c>
      <c r="I481">
        <f>VLOOKUP(H481,'Informe 2025'!$C$6:$M$166,11,FALSE)</f>
        <v>1</v>
      </c>
    </row>
    <row r="482" spans="1:9" x14ac:dyDescent="0.25">
      <c r="A482" s="2">
        <v>33</v>
      </c>
      <c r="B482" t="str">
        <f>VLOOKUP(A482,'Informe 2025'!$1:$1048576,2,FALSE)</f>
        <v>MAYO</v>
      </c>
      <c r="C482" t="s">
        <v>447</v>
      </c>
      <c r="D482" s="20" t="str">
        <f>VLOOKUP(C482,ID!$1:$1048576,4,FALSE)</f>
        <v>100450</v>
      </c>
      <c r="E482" s="20" t="str">
        <f>VLOOKUP(C482,ID!$1:$1048576,3,FALSE)</f>
        <v xml:space="preserve"> OSCAR ANDRES</v>
      </c>
      <c r="F482" s="20" t="str">
        <f>VLOOKUP(C482,ID!$1:$1048576,2,FALSE)</f>
        <v>OSSANDON ALCOTA</v>
      </c>
      <c r="G482" s="2" t="str">
        <f>VLOOKUP(D482,CORREOS!$A$2:$B$570,2,FALSE)</f>
        <v>OSCAR.OSSANDON@ANTAYHOTELES.CL</v>
      </c>
      <c r="H482" s="24" t="str">
        <f>VLOOKUP(A482,'Informe 2025'!$A$5:$C$164,3,FALSE)</f>
        <v>Cierre Programa Tutor</v>
      </c>
      <c r="I482">
        <f>VLOOKUP(H482,'Informe 2025'!$C$6:$M$166,11,FALSE)</f>
        <v>1</v>
      </c>
    </row>
    <row r="483" spans="1:9" x14ac:dyDescent="0.25">
      <c r="A483" s="2">
        <v>33</v>
      </c>
      <c r="B483" t="str">
        <f>VLOOKUP(A483,'Informe 2025'!$1:$1048576,2,FALSE)</f>
        <v>MAYO</v>
      </c>
      <c r="C483" t="s">
        <v>507</v>
      </c>
      <c r="D483" s="20" t="str">
        <f>VLOOKUP(C483,ID!$1:$1048576,4,FALSE)</f>
        <v>101892</v>
      </c>
      <c r="E483" s="20" t="str">
        <f>VLOOKUP(C483,ID!$1:$1048576,3,FALSE)</f>
        <v xml:space="preserve"> ALEJANDRO LUIS</v>
      </c>
      <c r="F483" s="20" t="str">
        <f>VLOOKUP(C483,ID!$1:$1048576,2,FALSE)</f>
        <v>SOLIS AGUIRRE</v>
      </c>
      <c r="G483" s="2" t="str">
        <f>VLOOKUP(D483,CORREOS!$A$2:$B$570,2,FALSE)</f>
        <v>ASOLIS@ANTAYHOTELES.CL</v>
      </c>
      <c r="H483" s="24" t="str">
        <f>VLOOKUP(A483,'Informe 2025'!$A$5:$C$164,3,FALSE)</f>
        <v>Cierre Programa Tutor</v>
      </c>
      <c r="I483">
        <f>VLOOKUP(H483,'Informe 2025'!$C$6:$M$166,11,FALSE)</f>
        <v>1</v>
      </c>
    </row>
    <row r="484" spans="1:9" x14ac:dyDescent="0.25">
      <c r="A484" s="2">
        <v>33</v>
      </c>
      <c r="B484" t="str">
        <f>VLOOKUP(A484,'Informe 2025'!$1:$1048576,2,FALSE)</f>
        <v>MAYO</v>
      </c>
      <c r="C484" t="s">
        <v>1917</v>
      </c>
      <c r="D484" s="20" t="str">
        <f>VLOOKUP(C484,ID!$1:$1048576,4,FALSE)</f>
        <v>101791</v>
      </c>
      <c r="E484" s="20" t="str">
        <f>VLOOKUP(C484,ID!$1:$1048576,3,FALSE)</f>
        <v xml:space="preserve"> MARIA ESTHER</v>
      </c>
      <c r="F484" s="20" t="str">
        <f>VLOOKUP(C484,ID!$1:$1048576,2,FALSE)</f>
        <v>GONZALEZ GONZALEZ</v>
      </c>
      <c r="G484" s="2" t="str">
        <f>VLOOKUP(D484,CORREOS!$A$2:$B$570,2,FALSE)</f>
        <v>MARIAESTHER.GONZALEZ@ANTAYHOTELES.CL</v>
      </c>
      <c r="H484" s="24" t="str">
        <f>VLOOKUP(A484,'Informe 2025'!$A$5:$C$164,3,FALSE)</f>
        <v>Cierre Programa Tutor</v>
      </c>
      <c r="I484">
        <f>VLOOKUP(H484,'Informe 2025'!$C$6:$M$166,11,FALSE)</f>
        <v>1</v>
      </c>
    </row>
    <row r="485" spans="1:9" x14ac:dyDescent="0.25">
      <c r="A485" s="2">
        <v>33</v>
      </c>
      <c r="B485" t="str">
        <f>VLOOKUP(A485,'Informe 2025'!$1:$1048576,2,FALSE)</f>
        <v>MAYO</v>
      </c>
      <c r="C485" t="s">
        <v>482</v>
      </c>
      <c r="D485" s="20" t="str">
        <f>VLOOKUP(C485,ID!$1:$1048576,4,FALSE)</f>
        <v>101320</v>
      </c>
      <c r="E485" s="20" t="str">
        <f>VLOOKUP(C485,ID!$1:$1048576,3,FALSE)</f>
        <v xml:space="preserve"> JAVIERA FERNANDA</v>
      </c>
      <c r="F485" s="20" t="str">
        <f>VLOOKUP(C485,ID!$1:$1048576,2,FALSE)</f>
        <v>RIVERA PEREZ</v>
      </c>
      <c r="G485" s="2" t="str">
        <f>VLOOKUP(D485,CORREOS!$A$2:$B$570,2,FALSE)</f>
        <v>JAVIERA.RIVERA@CL.LUCKIA.COM</v>
      </c>
      <c r="H485" s="24" t="str">
        <f>VLOOKUP(A485,'Informe 2025'!$A$5:$C$164,3,FALSE)</f>
        <v>Cierre Programa Tutor</v>
      </c>
      <c r="I485">
        <f>VLOOKUP(H485,'Informe 2025'!$C$6:$M$166,11,FALSE)</f>
        <v>1</v>
      </c>
    </row>
    <row r="486" spans="1:9" x14ac:dyDescent="0.25">
      <c r="A486" s="2">
        <v>34</v>
      </c>
      <c r="B486" t="str">
        <f>VLOOKUP(A486,'Informe 2025'!$1:$1048576,2,FALSE)</f>
        <v>MAYO</v>
      </c>
      <c r="C486" t="s">
        <v>303</v>
      </c>
      <c r="D486" s="20" t="str">
        <f>VLOOKUP(C486,ID!$1:$1048576,4,FALSE)</f>
        <v>102829</v>
      </c>
      <c r="E486" s="20" t="str">
        <f>VLOOKUP(C486,ID!$1:$1048576,3,FALSE)</f>
        <v xml:space="preserve"> WILSON DENNIS</v>
      </c>
      <c r="F486" s="20" t="str">
        <f>VLOOKUP(C486,ID!$1:$1048576,2,FALSE)</f>
        <v>CASTILLO PEREZ</v>
      </c>
      <c r="G486" s="2" t="str">
        <f>VLOOKUP(D486,CORREOS!$A$2:$B$570,2,FALSE)</f>
        <v>WCASTILLO@CL.LUCKIA.COM</v>
      </c>
      <c r="H486" s="24" t="str">
        <f>VLOOKUP(A486,'Informe 2025'!$A$5:$C$164,3,FALSE)</f>
        <v>Gestion de Calidad y BPM</v>
      </c>
      <c r="I486">
        <f>VLOOKUP(H486,'Informe 2025'!$C$6:$M$166,11,FALSE)</f>
        <v>1.5</v>
      </c>
    </row>
    <row r="487" spans="1:9" x14ac:dyDescent="0.25">
      <c r="A487" s="2">
        <v>34</v>
      </c>
      <c r="B487" t="str">
        <f>VLOOKUP(A487,'Informe 2025'!$1:$1048576,2,FALSE)</f>
        <v>MAYO</v>
      </c>
      <c r="C487" t="s">
        <v>251</v>
      </c>
      <c r="D487" s="20" t="str">
        <f>VLOOKUP(C487,ID!$1:$1048576,4,FALSE)</f>
        <v>102611</v>
      </c>
      <c r="E487" s="20" t="str">
        <f>VLOOKUP(C487,ID!$1:$1048576,3,FALSE)</f>
        <v xml:space="preserve"> DIEGO ALEXIS</v>
      </c>
      <c r="F487" s="20" t="str">
        <f>VLOOKUP(C487,ID!$1:$1048576,2,FALSE)</f>
        <v>ALID ALID</v>
      </c>
      <c r="G487" s="2" t="str">
        <f>VLOOKUP(D487,CORREOS!$A$2:$B$570,2,FALSE)</f>
        <v>DALID@ANTAYHOTELES.CL</v>
      </c>
      <c r="H487" s="24" t="str">
        <f>VLOOKUP(A487,'Informe 2025'!$A$5:$C$164,3,FALSE)</f>
        <v>Gestion de Calidad y BPM</v>
      </c>
      <c r="I487">
        <f>VLOOKUP(H487,'Informe 2025'!$C$6:$M$166,11,FALSE)</f>
        <v>1.5</v>
      </c>
    </row>
    <row r="488" spans="1:9" x14ac:dyDescent="0.25">
      <c r="A488" s="2">
        <v>34</v>
      </c>
      <c r="B488" t="str">
        <f>VLOOKUP(A488,'Informe 2025'!$1:$1048576,2,FALSE)</f>
        <v>MAYO</v>
      </c>
      <c r="C488" t="s">
        <v>339</v>
      </c>
      <c r="D488" s="20" t="str">
        <f>VLOOKUP(C488,ID!$1:$1048576,4,FALSE)</f>
        <v>101938</v>
      </c>
      <c r="E488" s="20" t="str">
        <f>VLOOKUP(C488,ID!$1:$1048576,3,FALSE)</f>
        <v xml:space="preserve"> LORETO ANDREA</v>
      </c>
      <c r="F488" s="20" t="str">
        <f>VLOOKUP(C488,ID!$1:$1048576,2,FALSE)</f>
        <v>FERNANDEZ GONZALEZ</v>
      </c>
      <c r="G488" s="2" t="str">
        <f>VLOOKUP(D488,CORREOS!$A$2:$B$570,2,FALSE)</f>
        <v>LFGONZALEZ@CL.LUCKIA.COM</v>
      </c>
      <c r="H488" s="24" t="str">
        <f>VLOOKUP(A488,'Informe 2025'!$A$5:$C$164,3,FALSE)</f>
        <v>Gestion de Calidad y BPM</v>
      </c>
      <c r="I488">
        <f>VLOOKUP(H488,'Informe 2025'!$C$6:$M$166,11,FALSE)</f>
        <v>1.5</v>
      </c>
    </row>
    <row r="489" spans="1:9" x14ac:dyDescent="0.25">
      <c r="A489" s="2">
        <v>34</v>
      </c>
      <c r="B489" t="str">
        <f>VLOOKUP(A489,'Informe 2025'!$1:$1048576,2,FALSE)</f>
        <v>MAYO</v>
      </c>
      <c r="C489" t="s">
        <v>271</v>
      </c>
      <c r="D489" s="20" t="str">
        <f>VLOOKUP(C489,ID!$1:$1048576,4,FALSE)</f>
        <v>102903</v>
      </c>
      <c r="E489" s="20" t="str">
        <f>VLOOKUP(C489,ID!$1:$1048576,3,FALSE)</f>
        <v xml:space="preserve"> KEVIN MARCELO</v>
      </c>
      <c r="F489" s="20" t="str">
        <f>VLOOKUP(C489,ID!$1:$1048576,2,FALSE)</f>
        <v>AROS CASTRO</v>
      </c>
      <c r="G489" s="2" t="str">
        <f>VLOOKUP(D489,CORREOS!$A$2:$B$570,2,FALSE)</f>
        <v>KAROS@ANTAYHOTELES.CL</v>
      </c>
      <c r="H489" s="24" t="str">
        <f>VLOOKUP(A489,'Informe 2025'!$A$5:$C$164,3,FALSE)</f>
        <v>Gestion de Calidad y BPM</v>
      </c>
      <c r="I489">
        <f>VLOOKUP(H489,'Informe 2025'!$C$6:$M$166,11,FALSE)</f>
        <v>1.5</v>
      </c>
    </row>
    <row r="490" spans="1:9" x14ac:dyDescent="0.25">
      <c r="A490" s="2">
        <v>34</v>
      </c>
      <c r="B490" t="str">
        <f>VLOOKUP(A490,'Informe 2025'!$1:$1048576,2,FALSE)</f>
        <v>MAYO</v>
      </c>
      <c r="C490" t="s">
        <v>283</v>
      </c>
      <c r="D490" s="20" t="str">
        <f>VLOOKUP(C490,ID!$1:$1048576,4,FALSE)</f>
        <v>102996</v>
      </c>
      <c r="E490" s="20" t="str">
        <f>VLOOKUP(C490,ID!$1:$1048576,3,FALSE)</f>
        <v xml:space="preserve"> CATALINA VICTORIA</v>
      </c>
      <c r="F490" s="20" t="str">
        <f>VLOOKUP(C490,ID!$1:$1048576,2,FALSE)</f>
        <v>CABEZAS MENA</v>
      </c>
      <c r="G490" s="2" t="str">
        <f>VLOOKUP(D490,CORREOS!$A$2:$B$570,2,FALSE)</f>
        <v>CCABEZAS@ANTAYHOTELES.CL</v>
      </c>
      <c r="H490" s="24" t="str">
        <f>VLOOKUP(A490,'Informe 2025'!$A$5:$C$164,3,FALSE)</f>
        <v>Gestion de Calidad y BPM</v>
      </c>
      <c r="I490">
        <f>VLOOKUP(H490,'Informe 2025'!$C$6:$M$166,11,FALSE)</f>
        <v>1.5</v>
      </c>
    </row>
    <row r="491" spans="1:9" x14ac:dyDescent="0.25">
      <c r="A491" s="2">
        <v>34</v>
      </c>
      <c r="B491" t="str">
        <f>VLOOKUP(A491,'Informe 2025'!$1:$1048576,2,FALSE)</f>
        <v>MAYO</v>
      </c>
      <c r="C491" t="s">
        <v>395</v>
      </c>
      <c r="D491" s="20" t="str">
        <f>VLOOKUP(C491,ID!$1:$1048576,4,FALSE)</f>
        <v>102063</v>
      </c>
      <c r="E491" s="20" t="str">
        <f>VLOOKUP(C491,ID!$1:$1048576,3,FALSE)</f>
        <v xml:space="preserve"> MICHELLE ANNETTE</v>
      </c>
      <c r="F491" s="20" t="str">
        <f>VLOOKUP(C491,ID!$1:$1048576,2,FALSE)</f>
        <v>LEAL LEYTON</v>
      </c>
      <c r="G491" s="2" t="str">
        <f>VLOOKUP(D491,CORREOS!$A$2:$B$570,2,FALSE)</f>
        <v>MLEAL@CL.LUCKIA.COM</v>
      </c>
      <c r="H491" s="24" t="str">
        <f>VLOOKUP(A491,'Informe 2025'!$A$5:$C$164,3,FALSE)</f>
        <v>Gestion de Calidad y BPM</v>
      </c>
      <c r="I491">
        <f>VLOOKUP(H491,'Informe 2025'!$C$6:$M$166,11,FALSE)</f>
        <v>1.5</v>
      </c>
    </row>
    <row r="492" spans="1:9" x14ac:dyDescent="0.25">
      <c r="A492" s="2">
        <v>34</v>
      </c>
      <c r="B492" t="str">
        <f>VLOOKUP(A492,'Informe 2025'!$1:$1048576,2,FALSE)</f>
        <v>MAYO</v>
      </c>
      <c r="C492" t="s">
        <v>314</v>
      </c>
      <c r="D492" s="20" t="str">
        <f>VLOOKUP(C492,ID!$1:$1048576,4,FALSE)</f>
        <v>102849</v>
      </c>
      <c r="E492" s="20" t="str">
        <f>VLOOKUP(C492,ID!$1:$1048576,3,FALSE)</f>
        <v xml:space="preserve"> CRISTOBAL HUMBERTO</v>
      </c>
      <c r="F492" s="20" t="str">
        <f>VLOOKUP(C492,ID!$1:$1048576,2,FALSE)</f>
        <v>CONDORI CARVAJAL</v>
      </c>
      <c r="G492" s="2" t="str">
        <f>VLOOKUP(D492,CORREOS!$A$2:$B$570,2,FALSE)</f>
        <v>CCONDORI@ANTAYHOTELES.CL</v>
      </c>
      <c r="H492" s="24" t="str">
        <f>VLOOKUP(A492,'Informe 2025'!$A$5:$C$164,3,FALSE)</f>
        <v>Gestion de Calidad y BPM</v>
      </c>
      <c r="I492">
        <f>VLOOKUP(H492,'Informe 2025'!$C$6:$M$166,11,FALSE)</f>
        <v>1.5</v>
      </c>
    </row>
    <row r="493" spans="1:9" x14ac:dyDescent="0.25">
      <c r="A493" s="2">
        <v>34</v>
      </c>
      <c r="B493" t="str">
        <f>VLOOKUP(A493,'Informe 2025'!$1:$1048576,2,FALSE)</f>
        <v>MAYO</v>
      </c>
      <c r="C493" t="s">
        <v>465</v>
      </c>
      <c r="D493" s="20" t="str">
        <f>VLOOKUP(C493,ID!$1:$1048576,4,FALSE)</f>
        <v>103311</v>
      </c>
      <c r="E493" s="20" t="str">
        <f>VLOOKUP(C493,ID!$1:$1048576,3,FALSE)</f>
        <v xml:space="preserve"> JOHNNY ALEXANDER</v>
      </c>
      <c r="F493" s="20" t="str">
        <f>VLOOKUP(C493,ID!$1:$1048576,2,FALSE)</f>
        <v>PIÑONES RODENAS</v>
      </c>
      <c r="G493" s="2" t="str">
        <f>VLOOKUP(D493,CORREOS!$A$2:$B$570,2,FALSE)</f>
        <v>JPINONES@CL.LUCKIA.COM</v>
      </c>
      <c r="H493" s="24" t="str">
        <f>VLOOKUP(A493,'Informe 2025'!$A$5:$C$164,3,FALSE)</f>
        <v>Gestion de Calidad y BPM</v>
      </c>
      <c r="I493">
        <f>VLOOKUP(H493,'Informe 2025'!$C$6:$M$166,11,FALSE)</f>
        <v>1.5</v>
      </c>
    </row>
    <row r="494" spans="1:9" x14ac:dyDescent="0.25">
      <c r="A494" s="2">
        <v>34</v>
      </c>
      <c r="B494" t="str">
        <f>VLOOKUP(A494,'Informe 2025'!$1:$1048576,2,FALSE)</f>
        <v>MAYO</v>
      </c>
      <c r="C494" t="s">
        <v>1812</v>
      </c>
      <c r="D494" s="20" t="str">
        <f>VLOOKUP(C494,ID!$1:$1048576,4,FALSE)</f>
        <v>102795</v>
      </c>
      <c r="E494" s="20" t="str">
        <f>VLOOKUP(C494,ID!$1:$1048576,3,FALSE)</f>
        <v xml:space="preserve"> CATALINA FRANCISCA</v>
      </c>
      <c r="F494" s="20" t="str">
        <f>VLOOKUP(C494,ID!$1:$1048576,2,FALSE)</f>
        <v>CONTRERAS GONZALEZ</v>
      </c>
      <c r="G494" s="2" t="str">
        <f>VLOOKUP(D494,CORREOS!$A$2:$B$570,2,FALSE)</f>
        <v>CCGONZALEZ@ANTAYHOTELES.CL</v>
      </c>
      <c r="H494" s="24" t="str">
        <f>VLOOKUP(A494,'Informe 2025'!$A$5:$C$164,3,FALSE)</f>
        <v>Gestion de Calidad y BPM</v>
      </c>
      <c r="I494">
        <f>VLOOKUP(H494,'Informe 2025'!$C$6:$M$166,11,FALSE)</f>
        <v>1.5</v>
      </c>
    </row>
    <row r="495" spans="1:9" x14ac:dyDescent="0.25">
      <c r="A495" s="2">
        <v>34</v>
      </c>
      <c r="B495" t="str">
        <f>VLOOKUP(A495,'Informe 2025'!$1:$1048576,2,FALSE)</f>
        <v>MAYO</v>
      </c>
      <c r="C495" t="s">
        <v>390</v>
      </c>
      <c r="D495" s="20" t="str">
        <f>VLOOKUP(C495,ID!$1:$1048576,4,FALSE)</f>
        <v>102642</v>
      </c>
      <c r="E495" s="20" t="str">
        <f>VLOOKUP(C495,ID!$1:$1048576,3,FALSE)</f>
        <v xml:space="preserve"> JOSE LUIS</v>
      </c>
      <c r="F495" s="20" t="str">
        <f>VLOOKUP(C495,ID!$1:$1048576,2,FALSE)</f>
        <v>JIMENEZ VILLALOBOS</v>
      </c>
      <c r="G495" s="2" t="str">
        <f>VLOOKUP(D495,CORREOS!$A$2:$B$570,2,FALSE)</f>
        <v>JJVILLALOBOS@ANTAYHOTELES.CL</v>
      </c>
      <c r="H495" s="24" t="str">
        <f>VLOOKUP(A495,'Informe 2025'!$A$5:$C$164,3,FALSE)</f>
        <v>Gestion de Calidad y BPM</v>
      </c>
      <c r="I495">
        <f>VLOOKUP(H495,'Informe 2025'!$C$6:$M$166,11,FALSE)</f>
        <v>1.5</v>
      </c>
    </row>
    <row r="496" spans="1:9" x14ac:dyDescent="0.25">
      <c r="A496" s="2">
        <v>34</v>
      </c>
      <c r="B496" t="str">
        <f>VLOOKUP(A496,'Informe 2025'!$1:$1048576,2,FALSE)</f>
        <v>MAYO</v>
      </c>
      <c r="C496" t="s">
        <v>534</v>
      </c>
      <c r="D496" s="20" t="str">
        <f>VLOOKUP(C496,ID!$1:$1048576,4,FALSE)</f>
        <v>102292</v>
      </c>
      <c r="E496" s="20" t="str">
        <f>VLOOKUP(C496,ID!$1:$1048576,3,FALSE)</f>
        <v xml:space="preserve"> ESKARLETT YUBINZA</v>
      </c>
      <c r="F496" s="20" t="str">
        <f>VLOOKUP(C496,ID!$1:$1048576,2,FALSE)</f>
        <v>ZULETA COLQUE</v>
      </c>
      <c r="G496" s="2" t="str">
        <f>VLOOKUP(D496,CORREOS!$A$2:$B$570,2,FALSE)</f>
        <v>EZCOLQUE@CL.LUCKIA.COM</v>
      </c>
      <c r="H496" s="24" t="str">
        <f>VLOOKUP(A496,'Informe 2025'!$A$5:$C$164,3,FALSE)</f>
        <v>Gestion de Calidad y BPM</v>
      </c>
      <c r="I496">
        <f>VLOOKUP(H496,'Informe 2025'!$C$6:$M$166,11,FALSE)</f>
        <v>1.5</v>
      </c>
    </row>
    <row r="497" spans="1:9" x14ac:dyDescent="0.25">
      <c r="A497" s="2">
        <v>34</v>
      </c>
      <c r="B497" t="str">
        <f>VLOOKUP(A497,'Informe 2025'!$1:$1048576,2,FALSE)</f>
        <v>MAYO</v>
      </c>
      <c r="C497" t="s">
        <v>372</v>
      </c>
      <c r="D497" s="20" t="str">
        <f>VLOOKUP(C497,ID!$1:$1048576,4,FALSE)</f>
        <v>103010</v>
      </c>
      <c r="E497" s="20" t="str">
        <f>VLOOKUP(C497,ID!$1:$1048576,3,FALSE)</f>
        <v xml:space="preserve"> FERNANDO</v>
      </c>
      <c r="F497" s="20" t="str">
        <f>VLOOKUP(C497,ID!$1:$1048576,2,FALSE)</f>
        <v>GONZALEZ OROZCO</v>
      </c>
      <c r="G497" s="2" t="str">
        <f>VLOOKUP(D497,CORREOS!$A$2:$B$570,2,FALSE)</f>
        <v>FGOROZCO@ANTAYHOTELES.CL</v>
      </c>
      <c r="H497" s="24" t="str">
        <f>VLOOKUP(A497,'Informe 2025'!$A$5:$C$164,3,FALSE)</f>
        <v>Gestion de Calidad y BPM</v>
      </c>
      <c r="I497">
        <f>VLOOKUP(H497,'Informe 2025'!$C$6:$M$166,11,FALSE)</f>
        <v>1.5</v>
      </c>
    </row>
    <row r="498" spans="1:9" x14ac:dyDescent="0.25">
      <c r="A498" s="2">
        <v>34</v>
      </c>
      <c r="B498" t="str">
        <f>VLOOKUP(A498,'Informe 2025'!$1:$1048576,2,FALSE)</f>
        <v>MAYO</v>
      </c>
      <c r="C498" t="s">
        <v>248</v>
      </c>
      <c r="D498" s="20" t="str">
        <f>VLOOKUP(C498,ID!$1:$1048576,4,FALSE)</f>
        <v>102546</v>
      </c>
      <c r="E498" s="20" t="str">
        <f>VLOOKUP(C498,ID!$1:$1048576,3,FALSE)</f>
        <v xml:space="preserve"> NICOLAS</v>
      </c>
      <c r="F498" s="20" t="str">
        <f>VLOOKUP(C498,ID!$1:$1048576,2,FALSE)</f>
        <v>ALARCON LAVIN</v>
      </c>
      <c r="G498" s="2" t="str">
        <f>VLOOKUP(D498,CORREOS!$A$2:$B$570,2,FALSE)</f>
        <v>NALARCON@ANTAYHOTELES.CL</v>
      </c>
      <c r="H498" s="24" t="str">
        <f>VLOOKUP(A498,'Informe 2025'!$A$5:$C$164,3,FALSE)</f>
        <v>Gestion de Calidad y BPM</v>
      </c>
      <c r="I498">
        <f>VLOOKUP(H498,'Informe 2025'!$C$6:$M$166,11,FALSE)</f>
        <v>1.5</v>
      </c>
    </row>
    <row r="499" spans="1:9" x14ac:dyDescent="0.25">
      <c r="A499" s="2">
        <v>35</v>
      </c>
      <c r="B499" t="str">
        <f>VLOOKUP(A499,'Informe 2025'!$1:$1048576,2,FALSE)</f>
        <v>MAYO</v>
      </c>
      <c r="C499" t="s">
        <v>271</v>
      </c>
      <c r="D499" s="20" t="str">
        <f>VLOOKUP(C499,ID!$1:$1048576,4,FALSE)</f>
        <v>102903</v>
      </c>
      <c r="E499" s="20" t="str">
        <f>VLOOKUP(C499,ID!$1:$1048576,3,FALSE)</f>
        <v xml:space="preserve"> KEVIN MARCELO</v>
      </c>
      <c r="F499" s="20" t="str">
        <f>VLOOKUP(C499,ID!$1:$1048576,2,FALSE)</f>
        <v>AROS CASTRO</v>
      </c>
      <c r="G499" s="2" t="str">
        <f>VLOOKUP(D499,CORREOS!$A$2:$B$570,2,FALSE)</f>
        <v>KAROS@ANTAYHOTELES.CL</v>
      </c>
      <c r="H499" s="24" t="str">
        <f>VLOOKUP(A499,'Informe 2025'!$A$5:$C$164,3,FALSE)</f>
        <v>Habilidades Blandas</v>
      </c>
      <c r="I499">
        <f>VLOOKUP(H499,'Informe 2025'!$C$6:$M$166,11,FALSE)</f>
        <v>1.5</v>
      </c>
    </row>
    <row r="500" spans="1:9" x14ac:dyDescent="0.25">
      <c r="A500" s="2">
        <v>35</v>
      </c>
      <c r="B500" t="str">
        <f>VLOOKUP(A500,'Informe 2025'!$1:$1048576,2,FALSE)</f>
        <v>MAYO</v>
      </c>
      <c r="C500" t="s">
        <v>396</v>
      </c>
      <c r="D500" s="20" t="str">
        <f>VLOOKUP(C500,ID!$1:$1048576,4,FALSE)</f>
        <v>103277</v>
      </c>
      <c r="E500" s="20" t="str">
        <f>VLOOKUP(C500,ID!$1:$1048576,3,FALSE)</f>
        <v xml:space="preserve"> GUNNAR</v>
      </c>
      <c r="F500" s="20" t="str">
        <f>VLOOKUP(C500,ID!$1:$1048576,2,FALSE)</f>
        <v>LEYTON RODAS</v>
      </c>
      <c r="G500" s="2" t="str">
        <f>VLOOKUP(D500,CORREOS!$A$2:$B$570,2,FALSE)</f>
        <v>GLEYTON@ANTAYHOTELES.CL</v>
      </c>
      <c r="H500" s="24" t="str">
        <f>VLOOKUP(A500,'Informe 2025'!$A$5:$C$164,3,FALSE)</f>
        <v>Habilidades Blandas</v>
      </c>
      <c r="I500">
        <f>VLOOKUP(H500,'Informe 2025'!$C$6:$M$166,11,FALSE)</f>
        <v>1.5</v>
      </c>
    </row>
    <row r="501" spans="1:9" x14ac:dyDescent="0.25">
      <c r="A501" s="2">
        <v>35</v>
      </c>
      <c r="B501" t="str">
        <f>VLOOKUP(A501,'Informe 2025'!$1:$1048576,2,FALSE)</f>
        <v>MAYO</v>
      </c>
      <c r="C501" t="s">
        <v>465</v>
      </c>
      <c r="D501" s="20" t="str">
        <f>VLOOKUP(C501,ID!$1:$1048576,4,FALSE)</f>
        <v>103311</v>
      </c>
      <c r="E501" s="20" t="str">
        <f>VLOOKUP(C501,ID!$1:$1048576,3,FALSE)</f>
        <v xml:space="preserve"> JOHNNY ALEXANDER</v>
      </c>
      <c r="F501" s="20" t="str">
        <f>VLOOKUP(C501,ID!$1:$1048576,2,FALSE)</f>
        <v>PIÑONES RODENAS</v>
      </c>
      <c r="G501" s="2" t="str">
        <f>VLOOKUP(D501,CORREOS!$A$2:$B$570,2,FALSE)</f>
        <v>JPINONES@CL.LUCKIA.COM</v>
      </c>
      <c r="H501" s="24" t="str">
        <f>VLOOKUP(A501,'Informe 2025'!$A$5:$C$164,3,FALSE)</f>
        <v>Habilidades Blandas</v>
      </c>
      <c r="I501">
        <f>VLOOKUP(H501,'Informe 2025'!$C$6:$M$166,11,FALSE)</f>
        <v>1.5</v>
      </c>
    </row>
    <row r="502" spans="1:9" x14ac:dyDescent="0.25">
      <c r="A502" s="2">
        <v>35</v>
      </c>
      <c r="B502" t="str">
        <f>VLOOKUP(A502,'Informe 2025'!$1:$1048576,2,FALSE)</f>
        <v>MAYO</v>
      </c>
      <c r="C502" t="s">
        <v>395</v>
      </c>
      <c r="D502" s="20" t="str">
        <f>VLOOKUP(C502,ID!$1:$1048576,4,FALSE)</f>
        <v>102063</v>
      </c>
      <c r="E502" s="20" t="str">
        <f>VLOOKUP(C502,ID!$1:$1048576,3,FALSE)</f>
        <v xml:space="preserve"> MICHELLE ANNETTE</v>
      </c>
      <c r="F502" s="20" t="str">
        <f>VLOOKUP(C502,ID!$1:$1048576,2,FALSE)</f>
        <v>LEAL LEYTON</v>
      </c>
      <c r="G502" s="2" t="str">
        <f>VLOOKUP(D502,CORREOS!$A$2:$B$570,2,FALSE)</f>
        <v>MLEAL@CL.LUCKIA.COM</v>
      </c>
      <c r="H502" s="24" t="str">
        <f>VLOOKUP(A502,'Informe 2025'!$A$5:$C$164,3,FALSE)</f>
        <v>Habilidades Blandas</v>
      </c>
      <c r="I502">
        <f>VLOOKUP(H502,'Informe 2025'!$C$6:$M$166,11,FALSE)</f>
        <v>1.5</v>
      </c>
    </row>
    <row r="503" spans="1:9" x14ac:dyDescent="0.25">
      <c r="A503" s="2">
        <v>35</v>
      </c>
      <c r="B503" t="str">
        <f>VLOOKUP(A503,'Informe 2025'!$1:$1048576,2,FALSE)</f>
        <v>MAYO</v>
      </c>
      <c r="C503" t="s">
        <v>314</v>
      </c>
      <c r="D503" s="20" t="str">
        <f>VLOOKUP(C503,ID!$1:$1048576,4,FALSE)</f>
        <v>102849</v>
      </c>
      <c r="E503" s="20" t="str">
        <f>VLOOKUP(C503,ID!$1:$1048576,3,FALSE)</f>
        <v xml:space="preserve"> CRISTOBAL HUMBERTO</v>
      </c>
      <c r="F503" s="20" t="str">
        <f>VLOOKUP(C503,ID!$1:$1048576,2,FALSE)</f>
        <v>CONDORI CARVAJAL</v>
      </c>
      <c r="G503" s="2" t="str">
        <f>VLOOKUP(D503,CORREOS!$A$2:$B$570,2,FALSE)</f>
        <v>CCONDORI@ANTAYHOTELES.CL</v>
      </c>
      <c r="H503" s="24" t="str">
        <f>VLOOKUP(A503,'Informe 2025'!$A$5:$C$164,3,FALSE)</f>
        <v>Habilidades Blandas</v>
      </c>
      <c r="I503">
        <f>VLOOKUP(H503,'Informe 2025'!$C$6:$M$166,11,FALSE)</f>
        <v>1.5</v>
      </c>
    </row>
    <row r="504" spans="1:9" x14ac:dyDescent="0.25">
      <c r="A504" s="2">
        <v>35</v>
      </c>
      <c r="B504" t="str">
        <f>VLOOKUP(A504,'Informe 2025'!$1:$1048576,2,FALSE)</f>
        <v>MAYO</v>
      </c>
      <c r="C504" t="s">
        <v>1812</v>
      </c>
      <c r="D504" s="20" t="str">
        <f>VLOOKUP(C504,ID!$1:$1048576,4,FALSE)</f>
        <v>102795</v>
      </c>
      <c r="E504" s="20" t="str">
        <f>VLOOKUP(C504,ID!$1:$1048576,3,FALSE)</f>
        <v xml:space="preserve"> CATALINA FRANCISCA</v>
      </c>
      <c r="F504" s="20" t="str">
        <f>VLOOKUP(C504,ID!$1:$1048576,2,FALSE)</f>
        <v>CONTRERAS GONZALEZ</v>
      </c>
      <c r="G504" s="2" t="str">
        <f>VLOOKUP(D504,CORREOS!$A$2:$B$570,2,FALSE)</f>
        <v>CCGONZALEZ@ANTAYHOTELES.CL</v>
      </c>
      <c r="H504" s="24" t="str">
        <f>VLOOKUP(A504,'Informe 2025'!$A$5:$C$164,3,FALSE)</f>
        <v>Habilidades Blandas</v>
      </c>
      <c r="I504">
        <f>VLOOKUP(H504,'Informe 2025'!$C$6:$M$166,11,FALSE)</f>
        <v>1.5</v>
      </c>
    </row>
    <row r="505" spans="1:9" x14ac:dyDescent="0.25">
      <c r="A505" s="2">
        <v>35</v>
      </c>
      <c r="B505" t="str">
        <f>VLOOKUP(A505,'Informe 2025'!$1:$1048576,2,FALSE)</f>
        <v>MAYO</v>
      </c>
      <c r="C505" t="s">
        <v>283</v>
      </c>
      <c r="D505" s="20" t="str">
        <f>VLOOKUP(C505,ID!$1:$1048576,4,FALSE)</f>
        <v>102996</v>
      </c>
      <c r="E505" s="20" t="str">
        <f>VLOOKUP(C505,ID!$1:$1048576,3,FALSE)</f>
        <v xml:space="preserve"> CATALINA VICTORIA</v>
      </c>
      <c r="F505" s="20" t="str">
        <f>VLOOKUP(C505,ID!$1:$1048576,2,FALSE)</f>
        <v>CABEZAS MENA</v>
      </c>
      <c r="G505" s="2" t="str">
        <f>VLOOKUP(D505,CORREOS!$A$2:$B$570,2,FALSE)</f>
        <v>CCABEZAS@ANTAYHOTELES.CL</v>
      </c>
      <c r="H505" s="24" t="str">
        <f>VLOOKUP(A505,'Informe 2025'!$A$5:$C$164,3,FALSE)</f>
        <v>Habilidades Blandas</v>
      </c>
      <c r="I505">
        <f>VLOOKUP(H505,'Informe 2025'!$C$6:$M$166,11,FALSE)</f>
        <v>1.5</v>
      </c>
    </row>
    <row r="506" spans="1:9" x14ac:dyDescent="0.25">
      <c r="A506" s="2">
        <v>35</v>
      </c>
      <c r="B506" t="str">
        <f>VLOOKUP(A506,'Informe 2025'!$1:$1048576,2,FALSE)</f>
        <v>MAYO</v>
      </c>
      <c r="C506" t="s">
        <v>248</v>
      </c>
      <c r="D506" s="20" t="str">
        <f>VLOOKUP(C506,ID!$1:$1048576,4,FALSE)</f>
        <v>102546</v>
      </c>
      <c r="E506" s="20" t="str">
        <f>VLOOKUP(C506,ID!$1:$1048576,3,FALSE)</f>
        <v xml:space="preserve"> NICOLAS</v>
      </c>
      <c r="F506" s="20" t="str">
        <f>VLOOKUP(C506,ID!$1:$1048576,2,FALSE)</f>
        <v>ALARCON LAVIN</v>
      </c>
      <c r="G506" s="2" t="str">
        <f>VLOOKUP(D506,CORREOS!$A$2:$B$570,2,FALSE)</f>
        <v>NALARCON@ANTAYHOTELES.CL</v>
      </c>
      <c r="H506" s="24" t="str">
        <f>VLOOKUP(A506,'Informe 2025'!$A$5:$C$164,3,FALSE)</f>
        <v>Habilidades Blandas</v>
      </c>
      <c r="I506">
        <f>VLOOKUP(H506,'Informe 2025'!$C$6:$M$166,11,FALSE)</f>
        <v>1.5</v>
      </c>
    </row>
    <row r="507" spans="1:9" x14ac:dyDescent="0.25">
      <c r="A507" s="2">
        <v>35</v>
      </c>
      <c r="B507" t="str">
        <f>VLOOKUP(A507,'Informe 2025'!$1:$1048576,2,FALSE)</f>
        <v>MAYO</v>
      </c>
      <c r="C507" t="s">
        <v>303</v>
      </c>
      <c r="D507" s="20" t="str">
        <f>VLOOKUP(C507,ID!$1:$1048576,4,FALSE)</f>
        <v>102829</v>
      </c>
      <c r="E507" s="20" t="str">
        <f>VLOOKUP(C507,ID!$1:$1048576,3,FALSE)</f>
        <v xml:space="preserve"> WILSON DENNIS</v>
      </c>
      <c r="F507" s="20" t="str">
        <f>VLOOKUP(C507,ID!$1:$1048576,2,FALSE)</f>
        <v>CASTILLO PEREZ</v>
      </c>
      <c r="G507" s="2" t="str">
        <f>VLOOKUP(D507,CORREOS!$A$2:$B$570,2,FALSE)</f>
        <v>WCASTILLO@CL.LUCKIA.COM</v>
      </c>
      <c r="H507" s="24" t="str">
        <f>VLOOKUP(A507,'Informe 2025'!$A$5:$C$164,3,FALSE)</f>
        <v>Habilidades Blandas</v>
      </c>
      <c r="I507">
        <f>VLOOKUP(H507,'Informe 2025'!$C$6:$M$166,11,FALSE)</f>
        <v>1.5</v>
      </c>
    </row>
    <row r="508" spans="1:9" x14ac:dyDescent="0.25">
      <c r="A508" s="2">
        <v>35</v>
      </c>
      <c r="B508" t="str">
        <f>VLOOKUP(A508,'Informe 2025'!$1:$1048576,2,FALSE)</f>
        <v>MAYO</v>
      </c>
      <c r="C508" t="s">
        <v>339</v>
      </c>
      <c r="D508" s="20" t="str">
        <f>VLOOKUP(C508,ID!$1:$1048576,4,FALSE)</f>
        <v>101938</v>
      </c>
      <c r="E508" s="20" t="str">
        <f>VLOOKUP(C508,ID!$1:$1048576,3,FALSE)</f>
        <v xml:space="preserve"> LORETO ANDREA</v>
      </c>
      <c r="F508" s="20" t="str">
        <f>VLOOKUP(C508,ID!$1:$1048576,2,FALSE)</f>
        <v>FERNANDEZ GONZALEZ</v>
      </c>
      <c r="G508" s="2" t="str">
        <f>VLOOKUP(D508,CORREOS!$A$2:$B$570,2,FALSE)</f>
        <v>LFGONZALEZ@CL.LUCKIA.COM</v>
      </c>
      <c r="H508" s="24" t="str">
        <f>VLOOKUP(A508,'Informe 2025'!$A$5:$C$164,3,FALSE)</f>
        <v>Habilidades Blandas</v>
      </c>
      <c r="I508">
        <f>VLOOKUP(H508,'Informe 2025'!$C$6:$M$166,11,FALSE)</f>
        <v>1.5</v>
      </c>
    </row>
    <row r="509" spans="1:9" x14ac:dyDescent="0.25">
      <c r="A509" s="2">
        <v>35</v>
      </c>
      <c r="B509" t="str">
        <f>VLOOKUP(A509,'Informe 2025'!$1:$1048576,2,FALSE)</f>
        <v>MAYO</v>
      </c>
      <c r="C509" t="s">
        <v>390</v>
      </c>
      <c r="D509" s="20" t="str">
        <f>VLOOKUP(C509,ID!$1:$1048576,4,FALSE)</f>
        <v>102642</v>
      </c>
      <c r="E509" s="20" t="str">
        <f>VLOOKUP(C509,ID!$1:$1048576,3,FALSE)</f>
        <v xml:space="preserve"> JOSE LUIS</v>
      </c>
      <c r="F509" s="20" t="str">
        <f>VLOOKUP(C509,ID!$1:$1048576,2,FALSE)</f>
        <v>JIMENEZ VILLALOBOS</v>
      </c>
      <c r="G509" s="2" t="str">
        <f>VLOOKUP(D509,CORREOS!$A$2:$B$570,2,FALSE)</f>
        <v>JJVILLALOBOS@ANTAYHOTELES.CL</v>
      </c>
      <c r="H509" s="24" t="str">
        <f>VLOOKUP(A509,'Informe 2025'!$A$5:$C$164,3,FALSE)</f>
        <v>Habilidades Blandas</v>
      </c>
      <c r="I509">
        <f>VLOOKUP(H509,'Informe 2025'!$C$6:$M$166,11,FALSE)</f>
        <v>1.5</v>
      </c>
    </row>
    <row r="510" spans="1:9" x14ac:dyDescent="0.25">
      <c r="A510" s="2">
        <v>35</v>
      </c>
      <c r="B510" t="str">
        <f>VLOOKUP(A510,'Informe 2025'!$1:$1048576,2,FALSE)</f>
        <v>MAYO</v>
      </c>
      <c r="C510" t="s">
        <v>534</v>
      </c>
      <c r="D510" s="20" t="str">
        <f>VLOOKUP(C510,ID!$1:$1048576,4,FALSE)</f>
        <v>102292</v>
      </c>
      <c r="E510" s="20" t="str">
        <f>VLOOKUP(C510,ID!$1:$1048576,3,FALSE)</f>
        <v xml:space="preserve"> ESKARLETT YUBINZA</v>
      </c>
      <c r="F510" s="20" t="str">
        <f>VLOOKUP(C510,ID!$1:$1048576,2,FALSE)</f>
        <v>ZULETA COLQUE</v>
      </c>
      <c r="G510" s="2" t="str">
        <f>VLOOKUP(D510,CORREOS!$A$2:$B$570,2,FALSE)</f>
        <v>EZCOLQUE@CL.LUCKIA.COM</v>
      </c>
      <c r="H510" s="24" t="str">
        <f>VLOOKUP(A510,'Informe 2025'!$A$5:$C$164,3,FALSE)</f>
        <v>Habilidades Blandas</v>
      </c>
      <c r="I510">
        <f>VLOOKUP(H510,'Informe 2025'!$C$6:$M$166,11,FALSE)</f>
        <v>1.5</v>
      </c>
    </row>
    <row r="511" spans="1:9" x14ac:dyDescent="0.25">
      <c r="A511" s="2">
        <v>35</v>
      </c>
      <c r="B511" t="str">
        <f>VLOOKUP(A511,'Informe 2025'!$1:$1048576,2,FALSE)</f>
        <v>MAYO</v>
      </c>
      <c r="C511" t="s">
        <v>251</v>
      </c>
      <c r="D511" s="20" t="str">
        <f>VLOOKUP(C511,ID!$1:$1048576,4,FALSE)</f>
        <v>102611</v>
      </c>
      <c r="E511" s="20" t="str">
        <f>VLOOKUP(C511,ID!$1:$1048576,3,FALSE)</f>
        <v xml:space="preserve"> DIEGO ALEXIS</v>
      </c>
      <c r="F511" s="20" t="str">
        <f>VLOOKUP(C511,ID!$1:$1048576,2,FALSE)</f>
        <v>ALID ALID</v>
      </c>
      <c r="G511" s="2" t="str">
        <f>VLOOKUP(D511,CORREOS!$A$2:$B$570,2,FALSE)</f>
        <v>DALID@ANTAYHOTELES.CL</v>
      </c>
      <c r="H511" s="24" t="str">
        <f>VLOOKUP(A511,'Informe 2025'!$A$5:$C$164,3,FALSE)</f>
        <v>Habilidades Blandas</v>
      </c>
      <c r="I511">
        <f>VLOOKUP(H511,'Informe 2025'!$C$6:$M$166,11,FALSE)</f>
        <v>1.5</v>
      </c>
    </row>
    <row r="512" spans="1:9" x14ac:dyDescent="0.25">
      <c r="A512" s="2">
        <v>35</v>
      </c>
      <c r="B512" t="str">
        <f>VLOOKUP(A512,'Informe 2025'!$1:$1048576,2,FALSE)</f>
        <v>MAYO</v>
      </c>
      <c r="C512" t="s">
        <v>274</v>
      </c>
      <c r="D512" s="20" t="str">
        <f>VLOOKUP(C512,ID!$1:$1048576,4,FALSE)</f>
        <v>103084</v>
      </c>
      <c r="E512" s="20" t="str">
        <f>VLOOKUP(C512,ID!$1:$1048576,3,FALSE)</f>
        <v xml:space="preserve"> BASTIAN ANDRES</v>
      </c>
      <c r="F512" s="20" t="str">
        <f>VLOOKUP(C512,ID!$1:$1048576,2,FALSE)</f>
        <v>ARRIAGADA PALTA</v>
      </c>
      <c r="G512" s="2" t="str">
        <f>VLOOKUP(D512,CORREOS!$A$2:$B$570,2,FALSE)</f>
        <v>BARRIAGADA@ANTAYHOTELES.CL</v>
      </c>
      <c r="H512" s="24" t="str">
        <f>VLOOKUP(A512,'Informe 2025'!$A$5:$C$164,3,FALSE)</f>
        <v>Habilidades Blandas</v>
      </c>
      <c r="I512">
        <f>VLOOKUP(H512,'Informe 2025'!$C$6:$M$166,11,FALSE)</f>
        <v>1.5</v>
      </c>
    </row>
    <row r="513" spans="1:9" x14ac:dyDescent="0.25">
      <c r="A513" s="2">
        <v>36</v>
      </c>
      <c r="B513" t="str">
        <f>VLOOKUP(A513,'Informe 2025'!$1:$1048576,2,FALSE)</f>
        <v>MAYO</v>
      </c>
      <c r="C513" t="s">
        <v>447</v>
      </c>
      <c r="D513" s="20" t="str">
        <f>VLOOKUP(C513,ID!$1:$1048576,4,FALSE)</f>
        <v>100450</v>
      </c>
      <c r="E513" s="20" t="str">
        <f>VLOOKUP(C513,ID!$1:$1048576,3,FALSE)</f>
        <v xml:space="preserve"> OSCAR ANDRES</v>
      </c>
      <c r="F513" s="20" t="str">
        <f>VLOOKUP(C513,ID!$1:$1048576,2,FALSE)</f>
        <v>OSSANDON ALCOTA</v>
      </c>
      <c r="G513" s="2" t="str">
        <f>VLOOKUP(D513,CORREOS!$A$2:$B$570,2,FALSE)</f>
        <v>OSCAR.OSSANDON@ANTAYHOTELES.CL</v>
      </c>
      <c r="H513" s="24" t="str">
        <f>VLOOKUP(A513,'Informe 2025'!$A$5:$C$164,3,FALSE)</f>
        <v>Diplomado Marketing Digital</v>
      </c>
      <c r="I513">
        <f>VLOOKUP(H513,'Informe 2025'!$C$6:$M$166,11,FALSE)</f>
        <v>100</v>
      </c>
    </row>
    <row r="514" spans="1:9" x14ac:dyDescent="0.25">
      <c r="A514" s="2">
        <v>37</v>
      </c>
      <c r="B514" t="str">
        <f>VLOOKUP(A514,'Informe 2025'!$1:$1048576,2,FALSE)</f>
        <v>MAYO</v>
      </c>
      <c r="C514" t="s">
        <v>454</v>
      </c>
      <c r="D514" s="20" t="str">
        <f>VLOOKUP(C514,ID!$1:$1048576,4,FALSE)</f>
        <v>101586</v>
      </c>
      <c r="E514" s="20" t="str">
        <f>VLOOKUP(C514,ID!$1:$1048576,3,FALSE)</f>
        <v xml:space="preserve"> FERNANDO ALFREDO</v>
      </c>
      <c r="F514" s="20" t="str">
        <f>VLOOKUP(C514,ID!$1:$1048576,2,FALSE)</f>
        <v>PASTEN ROJAS</v>
      </c>
      <c r="G514" s="2" t="str">
        <f>VLOOKUP(D514,CORREOS!$A$2:$B$570,2,FALSE)</f>
        <v>FERNANDOALFREDO.PASTEN@ANTAYHOTELES.CL</v>
      </c>
      <c r="H514" s="24" t="str">
        <f>VLOOKUP(A514,'Informe 2025'!$A$5:$C$164,3,FALSE)</f>
        <v>Edición de video</v>
      </c>
      <c r="I514">
        <f>VLOOKUP(H514,'Informe 2025'!$C$6:$M$166,11,FALSE)</f>
        <v>12</v>
      </c>
    </row>
    <row r="515" spans="1:9" x14ac:dyDescent="0.25">
      <c r="A515" s="2">
        <v>37</v>
      </c>
      <c r="B515" t="str">
        <f>VLOOKUP(A515,'Informe 2025'!$1:$1048576,2,FALSE)</f>
        <v>MAYO</v>
      </c>
      <c r="C515" t="s">
        <v>387</v>
      </c>
      <c r="D515" s="20" t="str">
        <f>VLOOKUP(C515,ID!$1:$1048576,4,FALSE)</f>
        <v>103008</v>
      </c>
      <c r="E515" s="20" t="str">
        <f>VLOOKUP(C515,ID!$1:$1048576,3,FALSE)</f>
        <v xml:space="preserve"> FLAVIO</v>
      </c>
      <c r="F515" s="20" t="str">
        <f>VLOOKUP(C515,ID!$1:$1048576,2,FALSE)</f>
        <v>INOSTROZA MUÑOZ</v>
      </c>
      <c r="G515" s="2" t="str">
        <f>VLOOKUP(D515,CORREOS!$A$2:$B$570,2,FALSE)</f>
        <v>FINOSTROZA@CL.LUCKIA.COM</v>
      </c>
      <c r="H515" s="24" t="str">
        <f>VLOOKUP(A515,'Informe 2025'!$A$5:$C$164,3,FALSE)</f>
        <v>Edición de video</v>
      </c>
      <c r="I515">
        <f>VLOOKUP(H515,'Informe 2025'!$C$6:$M$166,11,FALSE)</f>
        <v>12</v>
      </c>
    </row>
    <row r="516" spans="1:9" x14ac:dyDescent="0.25">
      <c r="A516" s="2">
        <v>38</v>
      </c>
      <c r="B516" t="str">
        <f>VLOOKUP(A516,'Informe 2025'!$1:$1048576,2,FALSE)</f>
        <v>MAYO</v>
      </c>
      <c r="C516" t="s">
        <v>463</v>
      </c>
      <c r="D516" s="20" t="str">
        <f>VLOOKUP(C516,ID!$1:$1048576,4,FALSE)</f>
        <v>102398</v>
      </c>
      <c r="E516" s="20" t="str">
        <f>VLOOKUP(C516,ID!$1:$1048576,3,FALSE)</f>
        <v xml:space="preserve"> HUGO PATRICIO</v>
      </c>
      <c r="F516" s="20" t="str">
        <f>VLOOKUP(C516,ID!$1:$1048576,2,FALSE)</f>
        <v>PEREZ VALENZUELA</v>
      </c>
      <c r="G516" s="2" t="str">
        <f>VLOOKUP(D516,CORREOS!$A$2:$B$570,2,FALSE)</f>
        <v>HPVALENZUELA@ANTAYHOTELES.CL</v>
      </c>
      <c r="H516" s="24" t="str">
        <f>VLOOKUP(A516,'Informe 2025'!$A$5:$C$164,3,FALSE)</f>
        <v>Curso de Gasfiteria</v>
      </c>
      <c r="I516">
        <f>VLOOKUP(H516,'Informe 2025'!$C$6:$M$166,11,FALSE)</f>
        <v>20</v>
      </c>
    </row>
    <row r="517" spans="1:9" x14ac:dyDescent="0.25">
      <c r="A517" s="2">
        <v>39</v>
      </c>
      <c r="B517" t="str">
        <f>VLOOKUP(A517,'Informe 2025'!$1:$1048576,2,FALSE)</f>
        <v>MAYO</v>
      </c>
      <c r="C517" t="s">
        <v>372</v>
      </c>
      <c r="D517" s="20" t="str">
        <f>VLOOKUP(C517,ID!$1:$1048576,4,FALSE)</f>
        <v>103010</v>
      </c>
      <c r="E517" s="20" t="str">
        <f>VLOOKUP(C517,ID!$1:$1048576,3,FALSE)</f>
        <v xml:space="preserve"> FERNANDO</v>
      </c>
      <c r="F517" s="20" t="str">
        <f>VLOOKUP(C517,ID!$1:$1048576,2,FALSE)</f>
        <v>GONZALEZ OROZCO</v>
      </c>
      <c r="G517" s="2" t="str">
        <f>VLOOKUP(D517,CORREOS!$A$2:$B$570,2,FALSE)</f>
        <v>FGOROZCO@ANTAYHOTELES.CL</v>
      </c>
      <c r="H517" s="24" t="str">
        <f>VLOOKUP(A517,'Informe 2025'!$A$5:$C$164,3,FALSE)</f>
        <v>Curso de Ingles</v>
      </c>
      <c r="I517">
        <f>VLOOKUP(H517,'Informe 2025'!$C$6:$M$166,11,FALSE)</f>
        <v>12</v>
      </c>
    </row>
    <row r="518" spans="1:9" x14ac:dyDescent="0.25">
      <c r="A518" s="2">
        <v>39</v>
      </c>
      <c r="B518" t="str">
        <f>VLOOKUP(A518,'Informe 2025'!$1:$1048576,2,FALSE)</f>
        <v>MAYO</v>
      </c>
      <c r="C518" t="s">
        <v>356</v>
      </c>
      <c r="D518" s="20" t="str">
        <f>VLOOKUP(C518,ID!$1:$1048576,4,FALSE)</f>
        <v>101587</v>
      </c>
      <c r="E518" s="20" t="str">
        <f>VLOOKUP(C518,ID!$1:$1048576,3,FALSE)</f>
        <v xml:space="preserve"> BERNARDO ANTONIO</v>
      </c>
      <c r="F518" s="20" t="str">
        <f>VLOOKUP(C518,ID!$1:$1048576,2,FALSE)</f>
        <v>GARRIDO ANTINAO</v>
      </c>
      <c r="G518" s="2" t="str">
        <f>VLOOKUP(D518,CORREOS!$A$2:$B$570,2,FALSE)</f>
        <v>BERNARDOANTONIO.GARRIDO@CL.LUCKIA.COM</v>
      </c>
      <c r="H518" s="24" t="str">
        <f>VLOOKUP(A518,'Informe 2025'!$A$5:$C$164,3,FALSE)</f>
        <v>Curso de Ingles</v>
      </c>
      <c r="I518">
        <f>VLOOKUP(H518,'Informe 2025'!$C$6:$M$166,11,FALSE)</f>
        <v>12</v>
      </c>
    </row>
    <row r="519" spans="1:9" x14ac:dyDescent="0.25">
      <c r="A519" s="2">
        <v>39</v>
      </c>
      <c r="B519" t="str">
        <f>VLOOKUP(A519,'Informe 2025'!$1:$1048576,2,FALSE)</f>
        <v>MAYO</v>
      </c>
      <c r="C519" t="s">
        <v>395</v>
      </c>
      <c r="D519" s="20" t="str">
        <f>VLOOKUP(C519,ID!$1:$1048576,4,FALSE)</f>
        <v>102063</v>
      </c>
      <c r="E519" s="20" t="str">
        <f>VLOOKUP(C519,ID!$1:$1048576,3,FALSE)</f>
        <v xml:space="preserve"> MICHELLE ANNETTE</v>
      </c>
      <c r="F519" s="20" t="str">
        <f>VLOOKUP(C519,ID!$1:$1048576,2,FALSE)</f>
        <v>LEAL LEYTON</v>
      </c>
      <c r="G519" s="2" t="str">
        <f>VLOOKUP(D519,CORREOS!$A$2:$B$570,2,FALSE)</f>
        <v>MLEAL@CL.LUCKIA.COM</v>
      </c>
      <c r="H519" s="24" t="str">
        <f>VLOOKUP(A519,'Informe 2025'!$A$5:$C$164,3,FALSE)</f>
        <v>Curso de Ingles</v>
      </c>
      <c r="I519">
        <f>VLOOKUP(H519,'Informe 2025'!$C$6:$M$166,11,FALSE)</f>
        <v>12</v>
      </c>
    </row>
    <row r="520" spans="1:9" x14ac:dyDescent="0.25">
      <c r="A520" s="2">
        <v>39</v>
      </c>
      <c r="B520" t="str">
        <f>VLOOKUP(A520,'Informe 2025'!$1:$1048576,2,FALSE)</f>
        <v>MAYO</v>
      </c>
      <c r="C520" t="s">
        <v>407</v>
      </c>
      <c r="D520" s="20" t="str">
        <f>VLOOKUP(C520,ID!$1:$1048576,4,FALSE)</f>
        <v>101826</v>
      </c>
      <c r="E520" s="20" t="str">
        <f>VLOOKUP(C520,ID!$1:$1048576,3,FALSE)</f>
        <v xml:space="preserve"> NARELA ALIZON JUDYT</v>
      </c>
      <c r="F520" s="20" t="str">
        <f>VLOOKUP(C520,ID!$1:$1048576,2,FALSE)</f>
        <v>MARINO ALARO</v>
      </c>
      <c r="G520" s="2" t="str">
        <f>VLOOKUP(D520,CORREOS!$A$2:$B$570,2,FALSE)</f>
        <v>NMARINO@CL.LUCKIA.COM</v>
      </c>
      <c r="H520" s="24" t="str">
        <f>VLOOKUP(A520,'Informe 2025'!$A$5:$C$164,3,FALSE)</f>
        <v>Curso de Ingles</v>
      </c>
      <c r="I520">
        <f>VLOOKUP(H520,'Informe 2025'!$C$6:$M$166,11,FALSE)</f>
        <v>12</v>
      </c>
    </row>
    <row r="521" spans="1:9" x14ac:dyDescent="0.25">
      <c r="A521" s="2">
        <v>39</v>
      </c>
      <c r="B521" t="str">
        <f>VLOOKUP(A521,'Informe 2025'!$1:$1048576,2,FALSE)</f>
        <v>MAYO</v>
      </c>
      <c r="C521" t="s">
        <v>351</v>
      </c>
      <c r="D521" s="20" t="str">
        <f>VLOOKUP(C521,ID!$1:$1048576,4,FALSE)</f>
        <v>103260</v>
      </c>
      <c r="E521" s="20" t="str">
        <f>VLOOKUP(C521,ID!$1:$1048576,3,FALSE)</f>
        <v xml:space="preserve"> JUAN MANUEL</v>
      </c>
      <c r="F521" s="20" t="str">
        <f>VLOOKUP(C521,ID!$1:$1048576,2,FALSE)</f>
        <v>GALLARDO MARIN</v>
      </c>
      <c r="G521" s="2" t="str">
        <f>VLOOKUP(D521,CORREOS!$A$2:$B$570,2,FALSE)</f>
        <v>JGMARIN@CL.LUCKIA.COM</v>
      </c>
      <c r="H521" s="24" t="str">
        <f>VLOOKUP(A521,'Informe 2025'!$A$5:$C$164,3,FALSE)</f>
        <v>Curso de Ingles</v>
      </c>
      <c r="I521">
        <f>VLOOKUP(H521,'Informe 2025'!$C$6:$M$166,11,FALSE)</f>
        <v>12</v>
      </c>
    </row>
    <row r="522" spans="1:9" x14ac:dyDescent="0.25">
      <c r="A522" s="2">
        <v>39</v>
      </c>
      <c r="B522" t="str">
        <f>VLOOKUP(A522,'Informe 2025'!$1:$1048576,2,FALSE)</f>
        <v>MAYO</v>
      </c>
      <c r="C522" t="s">
        <v>497</v>
      </c>
      <c r="D522" s="20" t="str">
        <f>VLOOKUP(C522,ID!$1:$1048576,4,FALSE)</f>
        <v>101379</v>
      </c>
      <c r="E522" s="20" t="str">
        <f>VLOOKUP(C522,ID!$1:$1048576,3,FALSE)</f>
        <v xml:space="preserve"> FABRIZZIO ANIBAL DUVAN</v>
      </c>
      <c r="F522" s="20" t="str">
        <f>VLOOKUP(C522,ID!$1:$1048576,2,FALSE)</f>
        <v>SALDAÑO CHAMORRO</v>
      </c>
      <c r="G522" s="2" t="str">
        <f>VLOOKUP(D522,CORREOS!$A$2:$B$570,2,FALSE)</f>
        <v>FABRIZZIOANIBALDUVAN.SALDANO@CL.LUCKIA.COM</v>
      </c>
      <c r="H522" s="24" t="str">
        <f>VLOOKUP(A522,'Informe 2025'!$A$5:$C$164,3,FALSE)</f>
        <v>Curso de Ingles</v>
      </c>
      <c r="I522">
        <f>VLOOKUP(H522,'Informe 2025'!$C$6:$M$166,11,FALSE)</f>
        <v>12</v>
      </c>
    </row>
    <row r="523" spans="1:9" x14ac:dyDescent="0.25">
      <c r="A523" s="2">
        <v>39</v>
      </c>
      <c r="B523" t="str">
        <f>VLOOKUP(A523,'Informe 2025'!$1:$1048576,2,FALSE)</f>
        <v>MAYO</v>
      </c>
      <c r="C523" t="s">
        <v>488</v>
      </c>
      <c r="D523" s="20" t="str">
        <f>VLOOKUP(C523,ID!$1:$1048576,4,FALSE)</f>
        <v>101691</v>
      </c>
      <c r="E523" s="20" t="str">
        <f>VLOOKUP(C523,ID!$1:$1048576,3,FALSE)</f>
        <v xml:space="preserve"> MARIA JOSE</v>
      </c>
      <c r="F523" s="20" t="str">
        <f>VLOOKUP(C523,ID!$1:$1048576,2,FALSE)</f>
        <v>ROJAS FERNANDEZ</v>
      </c>
      <c r="G523" s="2" t="str">
        <f>VLOOKUP(D523,CORREOS!$A$2:$B$570,2,FALSE)</f>
        <v>MARIAJOSE.ROJAS@ANTAYHOTELES.CL</v>
      </c>
      <c r="H523" s="24" t="str">
        <f>VLOOKUP(A523,'Informe 2025'!$A$5:$C$164,3,FALSE)</f>
        <v>Curso de Ingles</v>
      </c>
      <c r="I523">
        <f>VLOOKUP(H523,'Informe 2025'!$C$6:$M$166,11,FALSE)</f>
        <v>12</v>
      </c>
    </row>
    <row r="524" spans="1:9" x14ac:dyDescent="0.25">
      <c r="A524" s="2">
        <v>39</v>
      </c>
      <c r="B524" t="str">
        <f>VLOOKUP(A524,'Informe 2025'!$1:$1048576,2,FALSE)</f>
        <v>MAYO</v>
      </c>
      <c r="C524" t="s">
        <v>361</v>
      </c>
      <c r="D524" s="20" t="str">
        <f>VLOOKUP(C524,ID!$1:$1048576,4,FALSE)</f>
        <v>101731</v>
      </c>
      <c r="E524" s="20" t="str">
        <f>VLOOKUP(C524,ID!$1:$1048576,3,FALSE)</f>
        <v xml:space="preserve"> JAVIERA BEATRIZ</v>
      </c>
      <c r="F524" s="20" t="str">
        <f>VLOOKUP(C524,ID!$1:$1048576,2,FALSE)</f>
        <v>GODOY URRA</v>
      </c>
      <c r="G524" s="2" t="str">
        <f>VLOOKUP(D524,CORREOS!$A$2:$B$570,2,FALSE)</f>
        <v>JGODOY@ANTAYHOTELES.CL</v>
      </c>
      <c r="H524" s="24" t="str">
        <f>VLOOKUP(A524,'Informe 2025'!$A$5:$C$164,3,FALSE)</f>
        <v>Curso de Ingles</v>
      </c>
      <c r="I524">
        <f>VLOOKUP(H524,'Informe 2025'!$C$6:$M$166,11,FALSE)</f>
        <v>12</v>
      </c>
    </row>
    <row r="525" spans="1:9" x14ac:dyDescent="0.25">
      <c r="A525" s="2">
        <v>39</v>
      </c>
      <c r="B525" t="str">
        <f>VLOOKUP(A525,'Informe 2025'!$1:$1048576,2,FALSE)</f>
        <v>MAYO</v>
      </c>
      <c r="C525" t="s">
        <v>378</v>
      </c>
      <c r="D525" s="20" t="str">
        <f>VLOOKUP(C525,ID!$1:$1048576,4,FALSE)</f>
        <v>101407</v>
      </c>
      <c r="E525" s="20" t="str">
        <f>VLOOKUP(C525,ID!$1:$1048576,3,FALSE)</f>
        <v xml:space="preserve"> JOSEPH ALFREDO</v>
      </c>
      <c r="F525" s="20" t="str">
        <f>VLOOKUP(C525,ID!$1:$1048576,2,FALSE)</f>
        <v>HENRIQUEZ ARAYA</v>
      </c>
      <c r="G525" s="2" t="str">
        <f>VLOOKUP(D525,CORREOS!$A$2:$B$570,2,FALSE)</f>
        <v>JOSEPHALFREDO.HENRIQUEZ@CL.LUCKIA.COM</v>
      </c>
      <c r="H525" s="24" t="str">
        <f>VLOOKUP(A525,'Informe 2025'!$A$5:$C$164,3,FALSE)</f>
        <v>Curso de Ingles</v>
      </c>
      <c r="I525">
        <f>VLOOKUP(H525,'Informe 2025'!$C$6:$M$166,11,FALSE)</f>
        <v>12</v>
      </c>
    </row>
    <row r="526" spans="1:9" x14ac:dyDescent="0.25">
      <c r="A526" s="2">
        <v>39</v>
      </c>
      <c r="B526" t="str">
        <f>VLOOKUP(A526,'Informe 2025'!$1:$1048576,2,FALSE)</f>
        <v>MAYO</v>
      </c>
      <c r="C526" t="s">
        <v>534</v>
      </c>
      <c r="D526" s="20" t="str">
        <f>VLOOKUP(C526,ID!$1:$1048576,4,FALSE)</f>
        <v>102292</v>
      </c>
      <c r="E526" s="20" t="str">
        <f>VLOOKUP(C526,ID!$1:$1048576,3,FALSE)</f>
        <v xml:space="preserve"> ESKARLETT YUBINZA</v>
      </c>
      <c r="F526" s="20" t="str">
        <f>VLOOKUP(C526,ID!$1:$1048576,2,FALSE)</f>
        <v>ZULETA COLQUE</v>
      </c>
      <c r="G526" s="2" t="str">
        <f>VLOOKUP(D526,CORREOS!$A$2:$B$570,2,FALSE)</f>
        <v>EZCOLQUE@CL.LUCKIA.COM</v>
      </c>
      <c r="H526" s="24" t="str">
        <f>VLOOKUP(A526,'Informe 2025'!$A$5:$C$164,3,FALSE)</f>
        <v>Curso de Ingles</v>
      </c>
      <c r="I526">
        <f>VLOOKUP(H526,'Informe 2025'!$C$6:$M$166,11,FALSE)</f>
        <v>12</v>
      </c>
    </row>
    <row r="527" spans="1:9" x14ac:dyDescent="0.25">
      <c r="A527" s="2">
        <v>40</v>
      </c>
      <c r="B527" t="str">
        <f>VLOOKUP(A527,'Informe 2025'!$1:$1048576,2,FALSE)</f>
        <v>JUNIO</v>
      </c>
      <c r="C527" t="s">
        <v>356</v>
      </c>
      <c r="D527" s="20" t="str">
        <f>VLOOKUP(C527,ID!$1:$1048576,4,FALSE)</f>
        <v>101587</v>
      </c>
      <c r="E527" s="20" t="str">
        <f>VLOOKUP(C527,ID!$1:$1048576,3,FALSE)</f>
        <v xml:space="preserve"> BERNARDO ANTONIO</v>
      </c>
      <c r="F527" s="20" t="str">
        <f>VLOOKUP(C527,ID!$1:$1048576,2,FALSE)</f>
        <v>GARRIDO ANTINAO</v>
      </c>
      <c r="G527" s="2" t="str">
        <f>VLOOKUP(D527,CORREOS!$A$2:$B$570,2,FALSE)</f>
        <v>BERNARDOANTONIO.GARRIDO@CL.LUCKIA.COM</v>
      </c>
      <c r="H527" s="24" t="str">
        <f>VLOOKUP(A527,'Informe 2025'!$A$5:$C$164,3,FALSE)</f>
        <v>Curso de Ingles</v>
      </c>
      <c r="I527">
        <f>VLOOKUP(H527,'Informe 2025'!$C$6:$M$166,11,FALSE)</f>
        <v>12</v>
      </c>
    </row>
    <row r="528" spans="1:9" x14ac:dyDescent="0.25">
      <c r="A528" s="2">
        <v>40</v>
      </c>
      <c r="B528" t="str">
        <f>VLOOKUP(A528,'Informe 2025'!$1:$1048576,2,FALSE)</f>
        <v>JUNIO</v>
      </c>
      <c r="C528" t="s">
        <v>395</v>
      </c>
      <c r="D528" s="20" t="str">
        <f>VLOOKUP(C528,ID!$1:$1048576,4,FALSE)</f>
        <v>102063</v>
      </c>
      <c r="E528" s="20" t="str">
        <f>VLOOKUP(C528,ID!$1:$1048576,3,FALSE)</f>
        <v xml:space="preserve"> MICHELLE ANNETTE</v>
      </c>
      <c r="F528" s="20" t="str">
        <f>VLOOKUP(C528,ID!$1:$1048576,2,FALSE)</f>
        <v>LEAL LEYTON</v>
      </c>
      <c r="G528" s="2" t="str">
        <f>VLOOKUP(D528,CORREOS!$A$2:$B$570,2,FALSE)</f>
        <v>MLEAL@CL.LUCKIA.COM</v>
      </c>
      <c r="H528" s="24" t="str">
        <f>VLOOKUP(A528,'Informe 2025'!$A$5:$C$164,3,FALSE)</f>
        <v>Curso de Ingles</v>
      </c>
      <c r="I528">
        <f>VLOOKUP(H528,'Informe 2025'!$C$6:$M$166,11,FALSE)</f>
        <v>12</v>
      </c>
    </row>
    <row r="529" spans="1:9" x14ac:dyDescent="0.25">
      <c r="A529" s="2">
        <v>40</v>
      </c>
      <c r="B529" t="str">
        <f>VLOOKUP(A529,'Informe 2025'!$1:$1048576,2,FALSE)</f>
        <v>JUNIO</v>
      </c>
      <c r="C529" t="s">
        <v>407</v>
      </c>
      <c r="D529" s="20" t="str">
        <f>VLOOKUP(C529,ID!$1:$1048576,4,FALSE)</f>
        <v>101826</v>
      </c>
      <c r="E529" s="20" t="str">
        <f>VLOOKUP(C529,ID!$1:$1048576,3,FALSE)</f>
        <v xml:space="preserve"> NARELA ALIZON JUDYT</v>
      </c>
      <c r="F529" s="20" t="str">
        <f>VLOOKUP(C529,ID!$1:$1048576,2,FALSE)</f>
        <v>MARINO ALARO</v>
      </c>
      <c r="G529" s="2" t="str">
        <f>VLOOKUP(D529,CORREOS!$A$2:$B$570,2,FALSE)</f>
        <v>NMARINO@CL.LUCKIA.COM</v>
      </c>
      <c r="H529" s="24" t="str">
        <f>VLOOKUP(A529,'Informe 2025'!$A$5:$C$164,3,FALSE)</f>
        <v>Curso de Ingles</v>
      </c>
      <c r="I529">
        <f>VLOOKUP(H529,'Informe 2025'!$C$6:$M$166,11,FALSE)</f>
        <v>12</v>
      </c>
    </row>
    <row r="530" spans="1:9" x14ac:dyDescent="0.25">
      <c r="A530" s="2">
        <v>40</v>
      </c>
      <c r="B530" t="str">
        <f>VLOOKUP(A530,'Informe 2025'!$1:$1048576,2,FALSE)</f>
        <v>JUNIO</v>
      </c>
      <c r="C530" t="s">
        <v>351</v>
      </c>
      <c r="D530" s="20" t="str">
        <f>VLOOKUP(C530,ID!$1:$1048576,4,FALSE)</f>
        <v>103260</v>
      </c>
      <c r="E530" s="20" t="str">
        <f>VLOOKUP(C530,ID!$1:$1048576,3,FALSE)</f>
        <v xml:space="preserve"> JUAN MANUEL</v>
      </c>
      <c r="F530" s="20" t="str">
        <f>VLOOKUP(C530,ID!$1:$1048576,2,FALSE)</f>
        <v>GALLARDO MARIN</v>
      </c>
      <c r="G530" s="2" t="str">
        <f>VLOOKUP(D530,CORREOS!$A$2:$B$570,2,FALSE)</f>
        <v>JGMARIN@CL.LUCKIA.COM</v>
      </c>
      <c r="H530" s="24" t="str">
        <f>VLOOKUP(A530,'Informe 2025'!$A$5:$C$164,3,FALSE)</f>
        <v>Curso de Ingles</v>
      </c>
      <c r="I530">
        <f>VLOOKUP(H530,'Informe 2025'!$C$6:$M$166,11,FALSE)</f>
        <v>12</v>
      </c>
    </row>
    <row r="531" spans="1:9" x14ac:dyDescent="0.25">
      <c r="A531" s="2">
        <v>40</v>
      </c>
      <c r="B531" t="str">
        <f>VLOOKUP(A531,'Informe 2025'!$1:$1048576,2,FALSE)</f>
        <v>JUNIO</v>
      </c>
      <c r="C531" t="s">
        <v>497</v>
      </c>
      <c r="D531" s="20" t="str">
        <f>VLOOKUP(C531,ID!$1:$1048576,4,FALSE)</f>
        <v>101379</v>
      </c>
      <c r="E531" s="20" t="str">
        <f>VLOOKUP(C531,ID!$1:$1048576,3,FALSE)</f>
        <v xml:space="preserve"> FABRIZZIO ANIBAL DUVAN</v>
      </c>
      <c r="F531" s="20" t="str">
        <f>VLOOKUP(C531,ID!$1:$1048576,2,FALSE)</f>
        <v>SALDAÑO CHAMORRO</v>
      </c>
      <c r="G531" s="2" t="str">
        <f>VLOOKUP(D531,CORREOS!$A$2:$B$570,2,FALSE)</f>
        <v>FABRIZZIOANIBALDUVAN.SALDANO@CL.LUCKIA.COM</v>
      </c>
      <c r="H531" s="24" t="str">
        <f>VLOOKUP(A531,'Informe 2025'!$A$5:$C$164,3,FALSE)</f>
        <v>Curso de Ingles</v>
      </c>
      <c r="I531">
        <f>VLOOKUP(H531,'Informe 2025'!$C$6:$M$166,11,FALSE)</f>
        <v>12</v>
      </c>
    </row>
    <row r="532" spans="1:9" x14ac:dyDescent="0.25">
      <c r="A532" s="2">
        <v>40</v>
      </c>
      <c r="B532" t="str">
        <f>VLOOKUP(A532,'Informe 2025'!$1:$1048576,2,FALSE)</f>
        <v>JUNIO</v>
      </c>
      <c r="C532" t="s">
        <v>361</v>
      </c>
      <c r="D532" s="20" t="str">
        <f>VLOOKUP(C532,ID!$1:$1048576,4,FALSE)</f>
        <v>101731</v>
      </c>
      <c r="E532" s="20" t="str">
        <f>VLOOKUP(C532,ID!$1:$1048576,3,FALSE)</f>
        <v xml:space="preserve"> JAVIERA BEATRIZ</v>
      </c>
      <c r="F532" s="20" t="str">
        <f>VLOOKUP(C532,ID!$1:$1048576,2,FALSE)</f>
        <v>GODOY URRA</v>
      </c>
      <c r="G532" s="2" t="str">
        <f>VLOOKUP(D532,CORREOS!$A$2:$B$570,2,FALSE)</f>
        <v>JGODOY@ANTAYHOTELES.CL</v>
      </c>
      <c r="H532" s="24" t="str">
        <f>VLOOKUP(A532,'Informe 2025'!$A$5:$C$164,3,FALSE)</f>
        <v>Curso de Ingles</v>
      </c>
      <c r="I532">
        <f>VLOOKUP(H532,'Informe 2025'!$C$6:$M$166,11,FALSE)</f>
        <v>12</v>
      </c>
    </row>
    <row r="533" spans="1:9" x14ac:dyDescent="0.25">
      <c r="A533" s="2">
        <v>40</v>
      </c>
      <c r="B533" t="str">
        <f>VLOOKUP(A533,'Informe 2025'!$1:$1048576,2,FALSE)</f>
        <v>JUNIO</v>
      </c>
      <c r="C533" t="s">
        <v>378</v>
      </c>
      <c r="D533" s="20" t="str">
        <f>VLOOKUP(C533,ID!$1:$1048576,4,FALSE)</f>
        <v>101407</v>
      </c>
      <c r="E533" s="20" t="str">
        <f>VLOOKUP(C533,ID!$1:$1048576,3,FALSE)</f>
        <v xml:space="preserve"> JOSEPH ALFREDO</v>
      </c>
      <c r="F533" s="20" t="str">
        <f>VLOOKUP(C533,ID!$1:$1048576,2,FALSE)</f>
        <v>HENRIQUEZ ARAYA</v>
      </c>
      <c r="G533" s="2" t="str">
        <f>VLOOKUP(D533,CORREOS!$A$2:$B$570,2,FALSE)</f>
        <v>JOSEPHALFREDO.HENRIQUEZ@CL.LUCKIA.COM</v>
      </c>
      <c r="H533" s="24" t="str">
        <f>VLOOKUP(A533,'Informe 2025'!$A$5:$C$164,3,FALSE)</f>
        <v>Curso de Ingles</v>
      </c>
      <c r="I533">
        <f>VLOOKUP(H533,'Informe 2025'!$C$6:$M$166,11,FALSE)</f>
        <v>12</v>
      </c>
    </row>
    <row r="534" spans="1:9" x14ac:dyDescent="0.25">
      <c r="A534" s="2">
        <v>40</v>
      </c>
      <c r="B534" t="str">
        <f>VLOOKUP(A534,'Informe 2025'!$1:$1048576,2,FALSE)</f>
        <v>JUNIO</v>
      </c>
      <c r="C534" t="s">
        <v>534</v>
      </c>
      <c r="D534" s="20" t="str">
        <f>VLOOKUP(C534,ID!$1:$1048576,4,FALSE)</f>
        <v>102292</v>
      </c>
      <c r="E534" s="20" t="str">
        <f>VLOOKUP(C534,ID!$1:$1048576,3,FALSE)</f>
        <v xml:space="preserve"> ESKARLETT YUBINZA</v>
      </c>
      <c r="F534" s="20" t="str">
        <f>VLOOKUP(C534,ID!$1:$1048576,2,FALSE)</f>
        <v>ZULETA COLQUE</v>
      </c>
      <c r="G534" s="2" t="str">
        <f>VLOOKUP(D534,CORREOS!$A$2:$B$570,2,FALSE)</f>
        <v>EZCOLQUE@CL.LUCKIA.COM</v>
      </c>
      <c r="H534" s="24" t="str">
        <f>VLOOKUP(A534,'Informe 2025'!$A$5:$C$164,3,FALSE)</f>
        <v>Curso de Ingles</v>
      </c>
      <c r="I534">
        <f>VLOOKUP(H534,'Informe 2025'!$C$6:$M$166,11,FALSE)</f>
        <v>12</v>
      </c>
    </row>
    <row r="535" spans="1:9" x14ac:dyDescent="0.25">
      <c r="A535" s="2">
        <v>41</v>
      </c>
      <c r="B535" t="str">
        <f>VLOOKUP(A535,'Informe 2025'!$1:$1048576,2,FALSE)</f>
        <v>JUNIO</v>
      </c>
      <c r="C535" t="s">
        <v>447</v>
      </c>
      <c r="D535" s="20" t="str">
        <f>VLOOKUP(C535,ID!$1:$1048576,4,FALSE)</f>
        <v>100450</v>
      </c>
      <c r="E535" s="20" t="str">
        <f>VLOOKUP(C535,ID!$1:$1048576,3,FALSE)</f>
        <v xml:space="preserve"> OSCAR ANDRES</v>
      </c>
      <c r="F535" s="20" t="str">
        <f>VLOOKUP(C535,ID!$1:$1048576,2,FALSE)</f>
        <v>OSSANDON ALCOTA</v>
      </c>
      <c r="G535" s="2" t="str">
        <f>VLOOKUP(D535,CORREOS!$A$2:$B$570,2,FALSE)</f>
        <v>OSCAR.OSSANDON@ANTAYHOTELES.CL</v>
      </c>
      <c r="H535" s="24" t="str">
        <f>VLOOKUP(A535,'Informe 2025'!$A$5:$C$164,3,FALSE)</f>
        <v>Diplomado Marketing Digital</v>
      </c>
      <c r="I535">
        <f>VLOOKUP(H535,'Informe 2025'!$C$6:$M$166,11,FALSE)</f>
        <v>100</v>
      </c>
    </row>
    <row r="536" spans="1:9" x14ac:dyDescent="0.25">
      <c r="A536" s="2">
        <v>42</v>
      </c>
      <c r="B536" t="str">
        <f>VLOOKUP(A536,'Informe 2025'!$1:$1048576,2,FALSE)</f>
        <v>JUNIO</v>
      </c>
      <c r="C536" t="s">
        <v>454</v>
      </c>
      <c r="D536" s="20" t="str">
        <f>VLOOKUP(C536,ID!$1:$1048576,4,FALSE)</f>
        <v>101586</v>
      </c>
      <c r="E536" s="20" t="str">
        <f>VLOOKUP(C536,ID!$1:$1048576,3,FALSE)</f>
        <v xml:space="preserve"> FERNANDO ALFREDO</v>
      </c>
      <c r="F536" s="20" t="str">
        <f>VLOOKUP(C536,ID!$1:$1048576,2,FALSE)</f>
        <v>PASTEN ROJAS</v>
      </c>
      <c r="G536" s="2" t="str">
        <f>VLOOKUP(D536,CORREOS!$A$2:$B$570,2,FALSE)</f>
        <v>FERNANDOALFREDO.PASTEN@ANTAYHOTELES.CL</v>
      </c>
      <c r="H536" s="24" t="str">
        <f>VLOOKUP(A536,'Informe 2025'!$A$5:$C$164,3,FALSE)</f>
        <v>Edición de video</v>
      </c>
      <c r="I536">
        <f>VLOOKUP(H536,'Informe 2025'!$C$6:$M$166,11,FALSE)</f>
        <v>12</v>
      </c>
    </row>
    <row r="537" spans="1:9" x14ac:dyDescent="0.25">
      <c r="A537" s="2">
        <v>42</v>
      </c>
      <c r="B537" t="str">
        <f>VLOOKUP(A537,'Informe 2025'!$1:$1048576,2,FALSE)</f>
        <v>JUNIO</v>
      </c>
      <c r="C537" t="s">
        <v>387</v>
      </c>
      <c r="D537" s="20" t="str">
        <f>VLOOKUP(C537,ID!$1:$1048576,4,FALSE)</f>
        <v>103008</v>
      </c>
      <c r="E537" s="20" t="str">
        <f>VLOOKUP(C537,ID!$1:$1048576,3,FALSE)</f>
        <v xml:space="preserve"> FLAVIO</v>
      </c>
      <c r="F537" s="20" t="str">
        <f>VLOOKUP(C537,ID!$1:$1048576,2,FALSE)</f>
        <v>INOSTROZA MUÑOZ</v>
      </c>
      <c r="G537" s="2" t="str">
        <f>VLOOKUP(D537,CORREOS!$A$2:$B$570,2,FALSE)</f>
        <v>FINOSTROZA@CL.LUCKIA.COM</v>
      </c>
      <c r="H537" s="24" t="str">
        <f>VLOOKUP(A537,'Informe 2025'!$A$5:$C$164,3,FALSE)</f>
        <v>Edición de video</v>
      </c>
      <c r="I537">
        <f>VLOOKUP(H537,'Informe 2025'!$C$6:$M$166,11,FALSE)</f>
        <v>12</v>
      </c>
    </row>
    <row r="538" spans="1:9" x14ac:dyDescent="0.25">
      <c r="A538" s="2">
        <v>43</v>
      </c>
      <c r="B538" t="str">
        <f>VLOOKUP(A538,'Informe 2025'!$1:$1048576,2,FALSE)</f>
        <v>JUNIO</v>
      </c>
      <c r="C538" t="s">
        <v>463</v>
      </c>
      <c r="D538" s="20" t="str">
        <f>VLOOKUP(C538,ID!$1:$1048576,4,FALSE)</f>
        <v>102398</v>
      </c>
      <c r="E538" s="20" t="str">
        <f>VLOOKUP(C538,ID!$1:$1048576,3,FALSE)</f>
        <v xml:space="preserve"> HUGO PATRICIO</v>
      </c>
      <c r="F538" s="20" t="str">
        <f>VLOOKUP(C538,ID!$1:$1048576,2,FALSE)</f>
        <v>PEREZ VALENZUELA</v>
      </c>
      <c r="G538" s="2" t="str">
        <f>VLOOKUP(D538,CORREOS!$A$2:$B$570,2,FALSE)</f>
        <v>HPVALENZUELA@ANTAYHOTELES.CL</v>
      </c>
      <c r="H538" s="24" t="str">
        <f>VLOOKUP(A538,'Informe 2025'!$A$5:$C$164,3,FALSE)</f>
        <v>Curso de Gasfiteria</v>
      </c>
      <c r="I538">
        <f>VLOOKUP(H538,'Informe 2025'!$C$6:$M$166,11,FALSE)</f>
        <v>20</v>
      </c>
    </row>
    <row r="539" spans="1:9" x14ac:dyDescent="0.25">
      <c r="A539" s="2">
        <v>44</v>
      </c>
      <c r="B539" t="str">
        <f>VLOOKUP(A539,'Informe 2025'!$1:$1048576,2,FALSE)</f>
        <v>JUNIO</v>
      </c>
      <c r="C539" s="25" t="s">
        <v>449</v>
      </c>
      <c r="D539" s="20" t="str">
        <f>VLOOKUP(C539,ID!$1:$1048576,4,FALSE)</f>
        <v>102870</v>
      </c>
      <c r="E539" s="20" t="str">
        <f>VLOOKUP(C539,ID!$1:$1048576,3,FALSE)</f>
        <v xml:space="preserve"> MARCELA DEL ROSARIO</v>
      </c>
      <c r="F539" s="20" t="str">
        <f>VLOOKUP(C539,ID!$1:$1048576,2,FALSE)</f>
        <v>PACO PACO</v>
      </c>
      <c r="G539" s="2" t="str">
        <f>VLOOKUP(D539,CORREOS!$A$2:$B$570,2,FALSE)</f>
        <v>MPACO@CL.LUCKIA.COM</v>
      </c>
      <c r="H539" s="24" t="str">
        <f>VLOOKUP(A539,'Informe 2025'!$A$5:$C$164,3,FALSE)</f>
        <v>Curso de refrigeracion</v>
      </c>
      <c r="I539">
        <f>VLOOKUP(H539,'Informe 2025'!$C$6:$M$166,11,FALSE)</f>
        <v>60</v>
      </c>
    </row>
    <row r="540" spans="1:9" x14ac:dyDescent="0.25">
      <c r="A540" s="2">
        <v>45</v>
      </c>
      <c r="B540" t="str">
        <f>VLOOKUP(A540,'Informe 2025'!$1:$1048576,2,FALSE)</f>
        <v>JUNIO</v>
      </c>
      <c r="C540" t="s">
        <v>251</v>
      </c>
      <c r="D540" s="20" t="str">
        <f>VLOOKUP(C540,ID!$1:$1048576,4,FALSE)</f>
        <v>102611</v>
      </c>
      <c r="E540" s="20" t="str">
        <f>VLOOKUP(C540,ID!$1:$1048576,3,FALSE)</f>
        <v xml:space="preserve"> DIEGO ALEXIS</v>
      </c>
      <c r="F540" s="20" t="str">
        <f>VLOOKUP(C540,ID!$1:$1048576,2,FALSE)</f>
        <v>ALID ALID</v>
      </c>
      <c r="G540" s="2" t="str">
        <f>VLOOKUP(D540,CORREOS!$A$2:$B$570,2,FALSE)</f>
        <v>DALID@ANTAYHOTELES.CL</v>
      </c>
      <c r="H540" s="24" t="str">
        <f>VLOOKUP(A540,'Informe 2025'!$A$5:$C$164,3,FALSE)</f>
        <v>Rentrenamiento Seguridad</v>
      </c>
      <c r="I540">
        <f>VLOOKUP(H540,'Informe 2025'!$C$6:$M$166,11,FALSE)</f>
        <v>0</v>
      </c>
    </row>
    <row r="541" spans="1:9" x14ac:dyDescent="0.25">
      <c r="A541" s="2">
        <v>45</v>
      </c>
      <c r="B541" t="str">
        <f>VLOOKUP(A541,'Informe 2025'!$1:$1048576,2,FALSE)</f>
        <v>JUNIO</v>
      </c>
      <c r="C541" t="s">
        <v>493</v>
      </c>
      <c r="D541" s="20" t="str">
        <f>VLOOKUP(C541,ID!$1:$1048576,4,FALSE)</f>
        <v>102704</v>
      </c>
      <c r="E541" s="20" t="str">
        <f>VLOOKUP(C541,ID!$1:$1048576,3,FALSE)</f>
        <v xml:space="preserve"> DIEGO ENRIQUE</v>
      </c>
      <c r="F541" s="20" t="str">
        <f>VLOOKUP(C541,ID!$1:$1048576,2,FALSE)</f>
        <v>SAJAMA CRUZ</v>
      </c>
      <c r="G541" s="2" t="str">
        <f>VLOOKUP(D541,CORREOS!$A$2:$B$570,2,FALSE)</f>
        <v>DSAJAMA@CL.LUCKIA.COM</v>
      </c>
      <c r="H541" s="24" t="str">
        <f>VLOOKUP(A541,'Informe 2025'!$A$5:$C$164,3,FALSE)</f>
        <v>Rentrenamiento Seguridad</v>
      </c>
      <c r="I541">
        <f>VLOOKUP(H541,'Informe 2025'!$C$6:$M$166,11,FALSE)</f>
        <v>0</v>
      </c>
    </row>
    <row r="542" spans="1:9" x14ac:dyDescent="0.25">
      <c r="A542" s="2">
        <v>46</v>
      </c>
      <c r="B542" t="str">
        <f>VLOOKUP(A542,'Informe 2025'!$1:$1048576,2,FALSE)</f>
        <v>JUNIO</v>
      </c>
      <c r="C542" t="s">
        <v>282</v>
      </c>
      <c r="D542" s="20" t="str">
        <f>VLOOKUP(C542,ID!$1:$1048576,4,FALSE)</f>
        <v>102147</v>
      </c>
      <c r="E542" s="20" t="str">
        <f>VLOOKUP(C542,ID!$1:$1048576,3,FALSE)</f>
        <v xml:space="preserve"> ARIEL PATRICIO</v>
      </c>
      <c r="F542" s="20" t="str">
        <f>VLOOKUP(C542,ID!$1:$1048576,2,FALSE)</f>
        <v>BRAVO HIDALGO</v>
      </c>
      <c r="G542" s="2" t="str">
        <f>VLOOKUP(D542,CORREOS!$A$2:$B$570,2,FALSE)</f>
        <v>ABRAVO@ANTAYHOTELES.CL</v>
      </c>
      <c r="H542" s="24" t="str">
        <f>VLOOKUP(A542,'Informe 2025'!$A$5:$C$164,3,FALSE)</f>
        <v>Tecnicas de Pintura</v>
      </c>
      <c r="I542">
        <f>VLOOKUP(H542,'Informe 2025'!$C$6:$M$166,11,FALSE)</f>
        <v>30</v>
      </c>
    </row>
    <row r="543" spans="1:9" x14ac:dyDescent="0.25">
      <c r="A543" s="2">
        <v>46</v>
      </c>
      <c r="B543" t="str">
        <f>VLOOKUP(A543,'Informe 2025'!$1:$1048576,2,FALSE)</f>
        <v>JUNIO</v>
      </c>
      <c r="C543" s="25" t="s">
        <v>455</v>
      </c>
      <c r="D543" s="20" t="str">
        <f>VLOOKUP(C543,ID!$1:$1048576,4,FALSE)</f>
        <v>101809</v>
      </c>
      <c r="E543" s="20" t="str">
        <f>VLOOKUP(C543,ID!$1:$1048576,3,FALSE)</f>
        <v xml:space="preserve"> ARIEL RODRIGO</v>
      </c>
      <c r="F543" s="20" t="str">
        <f>VLOOKUP(C543,ID!$1:$1048576,2,FALSE)</f>
        <v>PERALTA CASTILLO</v>
      </c>
      <c r="G543" s="2" t="str">
        <f>VLOOKUP(D543,CORREOS!$A$2:$B$570,2,FALSE)</f>
        <v>APERALTA@CL.LUCKIA.COM</v>
      </c>
      <c r="H543" s="24" t="str">
        <f>VLOOKUP(A543,'Informe 2025'!$A$5:$C$164,3,FALSE)</f>
        <v>Tecnicas de Pintura</v>
      </c>
      <c r="I543">
        <f>VLOOKUP(H543,'Informe 2025'!$C$6:$M$166,11,FALSE)</f>
        <v>30</v>
      </c>
    </row>
    <row r="544" spans="1:9" x14ac:dyDescent="0.25">
      <c r="A544" s="2">
        <v>46</v>
      </c>
      <c r="B544" t="str">
        <f>VLOOKUP(A544,'Informe 2025'!$1:$1048576,2,FALSE)</f>
        <v>JUNIO</v>
      </c>
      <c r="C544" t="s">
        <v>329</v>
      </c>
      <c r="D544" s="20" t="str">
        <f>VLOOKUP(C544,ID!$1:$1048576,4,FALSE)</f>
        <v>103082</v>
      </c>
      <c r="E544" s="20" t="str">
        <f>VLOOKUP(C544,ID!$1:$1048576,3,FALSE)</f>
        <v xml:space="preserve"> MARIO ALFONSO</v>
      </c>
      <c r="F544" s="20" t="str">
        <f>VLOOKUP(C544,ID!$1:$1048576,2,FALSE)</f>
        <v>DELGADO MIRANDA</v>
      </c>
      <c r="G544" s="2" t="str">
        <f>VLOOKUP(D544,CORREOS!$A$2:$B$570,2,FALSE)</f>
        <v>MDMIRANDA@CL.LUCKIA.COM</v>
      </c>
      <c r="H544" s="24" t="str">
        <f>VLOOKUP(A544,'Informe 2025'!$A$5:$C$164,3,FALSE)</f>
        <v>Tecnicas de Pintura</v>
      </c>
      <c r="I544">
        <f>VLOOKUP(H544,'Informe 2025'!$C$6:$M$166,11,FALSE)</f>
        <v>30</v>
      </c>
    </row>
    <row r="545" spans="1:9" x14ac:dyDescent="0.25">
      <c r="A545" s="2">
        <v>46</v>
      </c>
      <c r="B545" t="str">
        <f>VLOOKUP(A545,'Informe 2025'!$1:$1048576,2,FALSE)</f>
        <v>JUNIO</v>
      </c>
      <c r="C545" t="s">
        <v>352</v>
      </c>
      <c r="D545" s="20" t="str">
        <f>VLOOKUP(C545,ID!$1:$1048576,4,FALSE)</f>
        <v>102645</v>
      </c>
      <c r="E545" s="20" t="str">
        <f>VLOOKUP(C545,ID!$1:$1048576,3,FALSE)</f>
        <v xml:space="preserve"> MARIA PAZ</v>
      </c>
      <c r="F545" s="20" t="str">
        <f>VLOOKUP(C545,ID!$1:$1048576,2,FALSE)</f>
        <v>GALLEGUILLOS COSSIO</v>
      </c>
      <c r="G545" s="2" t="str">
        <f>VLOOKUP(D545,CORREOS!$A$2:$B$570,2,FALSE)</f>
        <v>MGALLEGUILLO@ANTAYHOTELES.CL</v>
      </c>
      <c r="H545" s="24" t="str">
        <f>VLOOKUP(A545,'Informe 2025'!$A$5:$C$164,3,FALSE)</f>
        <v>Tecnicas de Pintura</v>
      </c>
      <c r="I545">
        <f>VLOOKUP(H545,'Informe 2025'!$C$6:$M$166,11,FALSE)</f>
        <v>30</v>
      </c>
    </row>
    <row r="546" spans="1:9" x14ac:dyDescent="0.25">
      <c r="A546" s="2">
        <v>46</v>
      </c>
      <c r="B546" t="str">
        <f>VLOOKUP(A546,'Informe 2025'!$1:$1048576,2,FALSE)</f>
        <v>JUNIO</v>
      </c>
      <c r="C546" s="25" t="s">
        <v>410</v>
      </c>
      <c r="D546" s="20" t="str">
        <f>VLOOKUP(C546,ID!$1:$1048576,4,FALSE)</f>
        <v>100353</v>
      </c>
      <c r="E546" s="20" t="str">
        <f>VLOOKUP(C546,ID!$1:$1048576,3,FALSE)</f>
        <v xml:space="preserve"> FABRICIO VIDAL</v>
      </c>
      <c r="F546" s="20" t="str">
        <f>VLOOKUP(C546,ID!$1:$1048576,2,FALSE)</f>
        <v>MARTINEZ BENAVIDEZ</v>
      </c>
      <c r="G546" s="2" t="str">
        <f>VLOOKUP(D546,CORREOS!$A$2:$B$570,2,FALSE)</f>
        <v>FABRICIO.MARTINEZ@ANTAYHOTELES.CL</v>
      </c>
      <c r="H546" s="24" t="str">
        <f>VLOOKUP(A546,'Informe 2025'!$A$5:$C$164,3,FALSE)</f>
        <v>Tecnicas de Pintura</v>
      </c>
      <c r="I546">
        <f>VLOOKUP(H546,'Informe 2025'!$C$6:$M$166,11,FALSE)</f>
        <v>30</v>
      </c>
    </row>
    <row r="547" spans="1:9" x14ac:dyDescent="0.25">
      <c r="A547" s="2">
        <v>46</v>
      </c>
      <c r="B547" t="str">
        <f>VLOOKUP(A547,'Informe 2025'!$1:$1048576,2,FALSE)</f>
        <v>JUNIO</v>
      </c>
      <c r="C547" t="s">
        <v>379</v>
      </c>
      <c r="D547" s="20" t="str">
        <f>VLOOKUP(C547,ID!$1:$1048576,4,FALSE)</f>
        <v>102978</v>
      </c>
      <c r="E547" s="20" t="str">
        <f>VLOOKUP(C547,ID!$1:$1048576,3,FALSE)</f>
        <v xml:space="preserve"> EMANUEL SADRAC</v>
      </c>
      <c r="F547" s="20" t="str">
        <f>VLOOKUP(C547,ID!$1:$1048576,2,FALSE)</f>
        <v>HENRIQUEZ RODRIGUEZ</v>
      </c>
      <c r="G547" s="2" t="str">
        <f>VLOOKUP(D547,CORREOS!$A$2:$B$570,2,FALSE)</f>
        <v>EHENRIQUEZ@CL.LUCKIA.COM</v>
      </c>
      <c r="H547" s="24" t="str">
        <f>VLOOKUP(A547,'Informe 2025'!$A$5:$C$164,3,FALSE)</f>
        <v>Tecnicas de Pintura</v>
      </c>
      <c r="I547">
        <f>VLOOKUP(H547,'Informe 2025'!$C$6:$M$166,11,FALSE)</f>
        <v>30</v>
      </c>
    </row>
    <row r="548" spans="1:9" x14ac:dyDescent="0.25">
      <c r="A548" s="2">
        <v>46</v>
      </c>
      <c r="B548" t="str">
        <f>VLOOKUP(A548,'Informe 2025'!$1:$1048576,2,FALSE)</f>
        <v>JUNIO</v>
      </c>
      <c r="C548" t="s">
        <v>449</v>
      </c>
      <c r="D548" s="20" t="str">
        <f>VLOOKUP(C548,ID!$1:$1048576,4,FALSE)</f>
        <v>102870</v>
      </c>
      <c r="E548" s="20" t="str">
        <f>VLOOKUP(C548,ID!$1:$1048576,3,FALSE)</f>
        <v xml:space="preserve"> MARCELA DEL ROSARIO</v>
      </c>
      <c r="F548" s="20" t="str">
        <f>VLOOKUP(C548,ID!$1:$1048576,2,FALSE)</f>
        <v>PACO PACO</v>
      </c>
      <c r="G548" s="2" t="str">
        <f>VLOOKUP(D548,CORREOS!$A$2:$B$570,2,FALSE)</f>
        <v>MPACO@CL.LUCKIA.COM</v>
      </c>
      <c r="H548" s="24" t="str">
        <f>VLOOKUP(A548,'Informe 2025'!$A$5:$C$164,3,FALSE)</f>
        <v>Tecnicas de Pintura</v>
      </c>
      <c r="I548">
        <f>VLOOKUP(H548,'Informe 2025'!$C$6:$M$166,11,FALSE)</f>
        <v>30</v>
      </c>
    </row>
    <row r="549" spans="1:9" x14ac:dyDescent="0.25">
      <c r="A549" s="2">
        <v>46</v>
      </c>
      <c r="B549" t="str">
        <f>VLOOKUP(A549,'Informe 2025'!$1:$1048576,2,FALSE)</f>
        <v>JUNIO</v>
      </c>
      <c r="C549" t="s">
        <v>462</v>
      </c>
      <c r="D549" s="20" t="str">
        <f>VLOOKUP(C549,ID!$1:$1048576,4,FALSE)</f>
        <v>102759</v>
      </c>
      <c r="E549" s="20" t="str">
        <f>VLOOKUP(C549,ID!$1:$1048576,3,FALSE)</f>
        <v xml:space="preserve"> FERNANDO ALEJANDRO</v>
      </c>
      <c r="F549" s="20" t="str">
        <f>VLOOKUP(C549,ID!$1:$1048576,2,FALSE)</f>
        <v>PEREZ VALENZUELA</v>
      </c>
      <c r="G549" s="2" t="str">
        <f>VLOOKUP(D549,CORREOS!$A$2:$B$570,2,FALSE)</f>
        <v>FPVALENZUELA@CL.LUCKIA.COM</v>
      </c>
      <c r="H549" s="24" t="str">
        <f>VLOOKUP(A549,'Informe 2025'!$A$5:$C$164,3,FALSE)</f>
        <v>Tecnicas de Pintura</v>
      </c>
      <c r="I549">
        <f>VLOOKUP(H549,'Informe 2025'!$C$6:$M$166,11,FALSE)</f>
        <v>30</v>
      </c>
    </row>
    <row r="550" spans="1:9" x14ac:dyDescent="0.25">
      <c r="A550" s="2">
        <v>46</v>
      </c>
      <c r="B550" t="str">
        <f>VLOOKUP(A550,'Informe 2025'!$1:$1048576,2,FALSE)</f>
        <v>JUNIO</v>
      </c>
      <c r="C550" t="s">
        <v>463</v>
      </c>
      <c r="D550" s="20" t="str">
        <f>VLOOKUP(C550,ID!$1:$1048576,4,FALSE)</f>
        <v>102398</v>
      </c>
      <c r="E550" s="20" t="str">
        <f>VLOOKUP(C550,ID!$1:$1048576,3,FALSE)</f>
        <v xml:space="preserve"> HUGO PATRICIO</v>
      </c>
      <c r="F550" s="20" t="str">
        <f>VLOOKUP(C550,ID!$1:$1048576,2,FALSE)</f>
        <v>PEREZ VALENZUELA</v>
      </c>
      <c r="G550" s="2" t="str">
        <f>VLOOKUP(D550,CORREOS!$A$2:$B$570,2,FALSE)</f>
        <v>HPVALENZUELA@ANTAYHOTELES.CL</v>
      </c>
      <c r="H550" s="24" t="str">
        <f>VLOOKUP(A550,'Informe 2025'!$A$5:$C$164,3,FALSE)</f>
        <v>Tecnicas de Pintura</v>
      </c>
      <c r="I550">
        <f>VLOOKUP(H550,'Informe 2025'!$C$6:$M$166,11,FALSE)</f>
        <v>30</v>
      </c>
    </row>
    <row r="551" spans="1:9" x14ac:dyDescent="0.25">
      <c r="A551" s="2">
        <v>46</v>
      </c>
      <c r="B551" t="str">
        <f>VLOOKUP(A551,'Informe 2025'!$1:$1048576,2,FALSE)</f>
        <v>JUNIO</v>
      </c>
      <c r="C551" s="25" t="s">
        <v>356</v>
      </c>
      <c r="D551" s="20" t="str">
        <f>VLOOKUP(C551,ID!$1:$1048576,4,FALSE)</f>
        <v>101587</v>
      </c>
      <c r="E551" s="20" t="str">
        <f>VLOOKUP(C551,ID!$1:$1048576,3,FALSE)</f>
        <v xml:space="preserve"> BERNARDO ANTONIO</v>
      </c>
      <c r="F551" s="20" t="str">
        <f>VLOOKUP(C551,ID!$1:$1048576,2,FALSE)</f>
        <v>GARRIDO ANTINAO</v>
      </c>
      <c r="G551" s="2" t="str">
        <f>VLOOKUP(D551,CORREOS!$A$2:$B$570,2,FALSE)</f>
        <v>BERNARDOANTONIO.GARRIDO@CL.LUCKIA.COM</v>
      </c>
      <c r="H551" s="24" t="str">
        <f>VLOOKUP(A551,'Informe 2025'!$A$5:$C$164,3,FALSE)</f>
        <v>Tecnicas de Pintura</v>
      </c>
      <c r="I551">
        <f>VLOOKUP(H551,'Informe 2025'!$C$6:$M$166,11,FALSE)</f>
        <v>30</v>
      </c>
    </row>
    <row r="552" spans="1:9" x14ac:dyDescent="0.25">
      <c r="A552" s="2">
        <v>46</v>
      </c>
      <c r="B552" t="str">
        <f>VLOOKUP(A552,'Informe 2025'!$1:$1048576,2,FALSE)</f>
        <v>JUNIO</v>
      </c>
      <c r="C552" t="s">
        <v>508</v>
      </c>
      <c r="D552" s="20" t="str">
        <f>VLOOKUP(C552,ID!$1:$1048576,4,FALSE)</f>
        <v>103321</v>
      </c>
      <c r="E552" s="20" t="str">
        <f>VLOOKUP(C552,ID!$1:$1048576,3,FALSE)</f>
        <v xml:space="preserve"> CRISTIAN ANTONIO JULIO</v>
      </c>
      <c r="F552" s="20" t="str">
        <f>VLOOKUP(C552,ID!$1:$1048576,2,FALSE)</f>
        <v>SOTO ILUFI</v>
      </c>
      <c r="G552" s="2" t="str">
        <f>VLOOKUP(D552,CORREOS!$A$2:$B$570,2,FALSE)</f>
        <v>CSOTO@ANTAYHOTELES.CL</v>
      </c>
      <c r="H552" s="24" t="str">
        <f>VLOOKUP(A552,'Informe 2025'!$A$5:$C$164,3,FALSE)</f>
        <v>Tecnicas de Pintura</v>
      </c>
      <c r="I552">
        <f>VLOOKUP(H552,'Informe 2025'!$C$6:$M$166,11,FALSE)</f>
        <v>30</v>
      </c>
    </row>
    <row r="553" spans="1:9" x14ac:dyDescent="0.25">
      <c r="A553" s="2">
        <v>46</v>
      </c>
      <c r="B553" t="str">
        <f>VLOOKUP(A553,'Informe 2025'!$1:$1048576,2,FALSE)</f>
        <v>JUNIO</v>
      </c>
      <c r="C553" t="s">
        <v>351</v>
      </c>
      <c r="D553" s="20" t="str">
        <f>VLOOKUP(C553,ID!$1:$1048576,4,FALSE)</f>
        <v>103260</v>
      </c>
      <c r="E553" s="20" t="str">
        <f>VLOOKUP(C553,ID!$1:$1048576,3,FALSE)</f>
        <v xml:space="preserve"> JUAN MANUEL</v>
      </c>
      <c r="F553" s="20" t="str">
        <f>VLOOKUP(C553,ID!$1:$1048576,2,FALSE)</f>
        <v>GALLARDO MARIN</v>
      </c>
      <c r="G553" s="2" t="str">
        <f>VLOOKUP(D553,CORREOS!$A$2:$B$570,2,FALSE)</f>
        <v>JGMARIN@CL.LUCKIA.COM</v>
      </c>
      <c r="H553" s="24" t="str">
        <f>VLOOKUP(A553,'Informe 2025'!$A$5:$C$164,3,FALSE)</f>
        <v>Tecnicas de Pintura</v>
      </c>
      <c r="I553">
        <f>VLOOKUP(H553,'Informe 2025'!$C$6:$M$166,11,FALSE)</f>
        <v>30</v>
      </c>
    </row>
    <row r="554" spans="1:9" x14ac:dyDescent="0.25">
      <c r="A554" s="2">
        <v>47</v>
      </c>
      <c r="B554" t="str">
        <f>VLOOKUP(A554,'Informe 2025'!$1:$1048576,2,FALSE)</f>
        <v>JUNIO</v>
      </c>
      <c r="C554" t="s">
        <v>1914</v>
      </c>
      <c r="D554" s="20" t="str">
        <f>VLOOKUP(C554,ID!$1:$1048576,4,FALSE)</f>
        <v>102705</v>
      </c>
      <c r="E554" s="20" t="str">
        <f>VLOOKUP(C554,ID!$1:$1048576,3,FALSE)</f>
        <v xml:space="preserve"> CLAUDIO ALBERTO</v>
      </c>
      <c r="F554" s="20" t="str">
        <f>VLOOKUP(C554,ID!$1:$1048576,2,FALSE)</f>
        <v>CARRASCO MEDEL</v>
      </c>
      <c r="G554" s="2" t="str">
        <f>VLOOKUP(D554,CORREOS!$A$2:$B$570,2,FALSE)</f>
        <v>CCARRASCO@CL.LUCKIA.COM</v>
      </c>
      <c r="H554" s="24" t="str">
        <f>VLOOKUP(A554,'Informe 2025'!$A$5:$C$164,3,FALSE)</f>
        <v>Difusión Politica de Inclusión</v>
      </c>
      <c r="I554">
        <f>VLOOKUP(H554,'Informe 2025'!$C$6:$M$166,11,FALSE)</f>
        <v>1</v>
      </c>
    </row>
    <row r="555" spans="1:9" x14ac:dyDescent="0.25">
      <c r="A555" s="2">
        <v>47</v>
      </c>
      <c r="B555" t="str">
        <f>VLOOKUP(A555,'Informe 2025'!$1:$1048576,2,FALSE)</f>
        <v>JUNIO</v>
      </c>
      <c r="C555" t="s">
        <v>271</v>
      </c>
      <c r="D555" s="20" t="str">
        <f>VLOOKUP(C555,ID!$1:$1048576,4,FALSE)</f>
        <v>102903</v>
      </c>
      <c r="E555" s="20" t="str">
        <f>VLOOKUP(C555,ID!$1:$1048576,3,FALSE)</f>
        <v xml:space="preserve"> KEVIN MARCELO</v>
      </c>
      <c r="F555" s="20" t="str">
        <f>VLOOKUP(C555,ID!$1:$1048576,2,FALSE)</f>
        <v>AROS CASTRO</v>
      </c>
      <c r="G555" s="2" t="str">
        <f>VLOOKUP(D555,CORREOS!$A$2:$B$570,2,FALSE)</f>
        <v>KAROS@ANTAYHOTELES.CL</v>
      </c>
      <c r="H555" s="24" t="str">
        <f>VLOOKUP(A555,'Informe 2025'!$A$5:$C$164,3,FALSE)</f>
        <v>Difusión Politica de Inclusión</v>
      </c>
      <c r="I555">
        <f>VLOOKUP(H555,'Informe 2025'!$C$6:$M$166,11,FALSE)</f>
        <v>1</v>
      </c>
    </row>
    <row r="556" spans="1:9" x14ac:dyDescent="0.25">
      <c r="A556" s="2">
        <v>47</v>
      </c>
      <c r="B556" t="str">
        <f>VLOOKUP(A556,'Informe 2025'!$1:$1048576,2,FALSE)</f>
        <v>JUNIO</v>
      </c>
      <c r="C556" t="s">
        <v>264</v>
      </c>
      <c r="D556" s="20" t="str">
        <f>VLOOKUP(C556,ID!$1:$1048576,4,FALSE)</f>
        <v>102575</v>
      </c>
      <c r="E556" s="20" t="str">
        <f>VLOOKUP(C556,ID!$1:$1048576,3,FALSE)</f>
        <v xml:space="preserve"> RODRIGO ANDRES</v>
      </c>
      <c r="F556" s="20" t="str">
        <f>VLOOKUP(C556,ID!$1:$1048576,2,FALSE)</f>
        <v>ARAYA JORQUERA</v>
      </c>
      <c r="G556" s="2" t="str">
        <f>VLOOKUP(D556,CORREOS!$A$2:$B$570,2,FALSE)</f>
        <v>RAJORQUERA@ANTAYHOTELES.CL</v>
      </c>
      <c r="H556" s="24" t="str">
        <f>VLOOKUP(A556,'Informe 2025'!$A$5:$C$164,3,FALSE)</f>
        <v>Difusión Politica de Inclusión</v>
      </c>
      <c r="I556">
        <f>VLOOKUP(H556,'Informe 2025'!$C$6:$M$166,11,FALSE)</f>
        <v>1</v>
      </c>
    </row>
    <row r="557" spans="1:9" x14ac:dyDescent="0.25">
      <c r="A557" s="2">
        <v>47</v>
      </c>
      <c r="B557" t="str">
        <f>VLOOKUP(A557,'Informe 2025'!$1:$1048576,2,FALSE)</f>
        <v>JUNIO</v>
      </c>
      <c r="C557" t="s">
        <v>334</v>
      </c>
      <c r="D557" s="20" t="str">
        <f>VLOOKUP(C557,ID!$1:$1048576,4,FALSE)</f>
        <v>102080</v>
      </c>
      <c r="E557" s="20" t="str">
        <f>VLOOKUP(C557,ID!$1:$1048576,3,FALSE)</f>
        <v xml:space="preserve"> KATHERINE NICOLE</v>
      </c>
      <c r="F557" s="20" t="str">
        <f>VLOOKUP(C557,ID!$1:$1048576,2,FALSE)</f>
        <v>DIMITROV DE LA VEGA</v>
      </c>
      <c r="G557" s="2" t="str">
        <f>VLOOKUP(D557,CORREOS!$A$2:$B$570,2,FALSE)</f>
        <v>KDELAVEGA@ANTAYHOTELES.CL</v>
      </c>
      <c r="H557" s="24" t="str">
        <f>VLOOKUP(A557,'Informe 2025'!$A$5:$C$164,3,FALSE)</f>
        <v>Difusión Politica de Inclusión</v>
      </c>
      <c r="I557">
        <f>VLOOKUP(H557,'Informe 2025'!$C$6:$M$166,11,FALSE)</f>
        <v>1</v>
      </c>
    </row>
    <row r="558" spans="1:9" x14ac:dyDescent="0.25">
      <c r="A558" s="2">
        <v>47</v>
      </c>
      <c r="B558" t="str">
        <f>VLOOKUP(A558,'Informe 2025'!$1:$1048576,2,FALSE)</f>
        <v>JUNIO</v>
      </c>
      <c r="C558" t="s">
        <v>512</v>
      </c>
      <c r="D558" s="20" t="str">
        <f>VLOOKUP(C558,ID!$1:$1048576,4,FALSE)</f>
        <v>101563</v>
      </c>
      <c r="E558" s="20" t="str">
        <f>VLOOKUP(C558,ID!$1:$1048576,3,FALSE)</f>
        <v xml:space="preserve"> FRANCISCO JAVIER</v>
      </c>
      <c r="F558" s="20" t="str">
        <f>VLOOKUP(C558,ID!$1:$1048576,2,FALSE)</f>
        <v>TELLO CARDENAS</v>
      </c>
      <c r="G558" s="2" t="str">
        <f>VLOOKUP(D558,CORREOS!$A$2:$B$570,2,FALSE)</f>
        <v>FRANCISCOJAVIER.TELLO@ANTAYHOTELES.CL</v>
      </c>
      <c r="H558" s="24" t="str">
        <f>VLOOKUP(A558,'Informe 2025'!$A$5:$C$164,3,FALSE)</f>
        <v>Difusión Politica de Inclusión</v>
      </c>
      <c r="I558">
        <f>VLOOKUP(H558,'Informe 2025'!$C$6:$M$166,11,FALSE)</f>
        <v>1</v>
      </c>
    </row>
    <row r="559" spans="1:9" x14ac:dyDescent="0.25">
      <c r="A559" s="2">
        <v>47</v>
      </c>
      <c r="B559" t="str">
        <f>VLOOKUP(A559,'Informe 2025'!$1:$1048576,2,FALSE)</f>
        <v>JUNIO</v>
      </c>
      <c r="C559" t="s">
        <v>314</v>
      </c>
      <c r="D559" s="20" t="str">
        <f>VLOOKUP(C559,ID!$1:$1048576,4,FALSE)</f>
        <v>102849</v>
      </c>
      <c r="E559" s="20" t="str">
        <f>VLOOKUP(C559,ID!$1:$1048576,3,FALSE)</f>
        <v xml:space="preserve"> CRISTOBAL HUMBERTO</v>
      </c>
      <c r="F559" s="20" t="str">
        <f>VLOOKUP(C559,ID!$1:$1048576,2,FALSE)</f>
        <v>CONDORI CARVAJAL</v>
      </c>
      <c r="G559" s="2" t="str">
        <f>VLOOKUP(D559,CORREOS!$A$2:$B$570,2,FALSE)</f>
        <v>CCONDORI@ANTAYHOTELES.CL</v>
      </c>
      <c r="H559" s="24" t="str">
        <f>VLOOKUP(A559,'Informe 2025'!$A$5:$C$164,3,FALSE)</f>
        <v>Difusión Politica de Inclusión</v>
      </c>
      <c r="I559">
        <f>VLOOKUP(H559,'Informe 2025'!$C$6:$M$166,11,FALSE)</f>
        <v>1</v>
      </c>
    </row>
    <row r="560" spans="1:9" x14ac:dyDescent="0.25">
      <c r="A560" s="2">
        <v>47</v>
      </c>
      <c r="B560" t="str">
        <f>VLOOKUP(A560,'Informe 2025'!$1:$1048576,2,FALSE)</f>
        <v>JUNIO</v>
      </c>
      <c r="C560" t="s">
        <v>1630</v>
      </c>
      <c r="D560" s="20" t="str">
        <f>VLOOKUP(C560,ID!$1:$1048576,4,FALSE)</f>
        <v>103871</v>
      </c>
      <c r="E560" s="20" t="str">
        <f>VLOOKUP(C560,ID!$1:$1048576,3,FALSE)</f>
        <v xml:space="preserve"> MAURICIO ANTONIO</v>
      </c>
      <c r="F560" s="20" t="str">
        <f>VLOOKUP(C560,ID!$1:$1048576,2,FALSE)</f>
        <v>AVENDAÑO ARANCIBIA</v>
      </c>
      <c r="G560" s="2" t="str">
        <f>VLOOKUP(D560,CORREOS!$A$2:$B$570,2,FALSE)</f>
        <v>MAVENDANO@antayhoteles.cl</v>
      </c>
      <c r="H560" s="24" t="str">
        <f>VLOOKUP(A560,'Informe 2025'!$A$5:$C$164,3,FALSE)</f>
        <v>Difusión Politica de Inclusión</v>
      </c>
      <c r="I560">
        <f>VLOOKUP(H560,'Informe 2025'!$C$6:$M$166,11,FALSE)</f>
        <v>1</v>
      </c>
    </row>
    <row r="561" spans="1:9" x14ac:dyDescent="0.25">
      <c r="A561" s="2">
        <v>47</v>
      </c>
      <c r="B561" t="str">
        <f>VLOOKUP(A561,'Informe 2025'!$1:$1048576,2,FALSE)</f>
        <v>JUNIO</v>
      </c>
      <c r="C561" t="s">
        <v>314</v>
      </c>
      <c r="D561" s="20" t="str">
        <f>VLOOKUP(C561,ID!$1:$1048576,4,FALSE)</f>
        <v>102849</v>
      </c>
      <c r="E561" s="20" t="str">
        <f>VLOOKUP(C561,ID!$1:$1048576,3,FALSE)</f>
        <v xml:space="preserve"> CRISTOBAL HUMBERTO</v>
      </c>
      <c r="F561" s="20" t="str">
        <f>VLOOKUP(C561,ID!$1:$1048576,2,FALSE)</f>
        <v>CONDORI CARVAJAL</v>
      </c>
      <c r="G561" s="2" t="str">
        <f>VLOOKUP(D561,CORREOS!$A$2:$B$570,2,FALSE)</f>
        <v>CCONDORI@ANTAYHOTELES.CL</v>
      </c>
      <c r="H561" s="24" t="str">
        <f>VLOOKUP(A561,'Informe 2025'!$A$5:$C$164,3,FALSE)</f>
        <v>Difusión Politica de Inclusión</v>
      </c>
      <c r="I561">
        <f>VLOOKUP(H561,'Informe 2025'!$C$6:$M$166,11,FALSE)</f>
        <v>1</v>
      </c>
    </row>
    <row r="562" spans="1:9" x14ac:dyDescent="0.25">
      <c r="A562" s="2">
        <v>47</v>
      </c>
      <c r="B562" t="str">
        <f>VLOOKUP(A562,'Informe 2025'!$1:$1048576,2,FALSE)</f>
        <v>JUNIO</v>
      </c>
      <c r="C562" t="s">
        <v>1630</v>
      </c>
      <c r="D562" s="20" t="str">
        <f>VLOOKUP(C562,ID!$1:$1048576,4,FALSE)</f>
        <v>103871</v>
      </c>
      <c r="E562" s="20" t="str">
        <f>VLOOKUP(C562,ID!$1:$1048576,3,FALSE)</f>
        <v xml:space="preserve"> MAURICIO ANTONIO</v>
      </c>
      <c r="F562" s="20" t="str">
        <f>VLOOKUP(C562,ID!$1:$1048576,2,FALSE)</f>
        <v>AVENDAÑO ARANCIBIA</v>
      </c>
      <c r="G562" s="2" t="str">
        <f>VLOOKUP(D562,CORREOS!$A$2:$B$570,2,FALSE)</f>
        <v>MAVENDANO@antayhoteles.cl</v>
      </c>
      <c r="H562" s="24" t="str">
        <f>VLOOKUP(A562,'Informe 2025'!$A$5:$C$164,3,FALSE)</f>
        <v>Difusión Politica de Inclusión</v>
      </c>
      <c r="I562">
        <f>VLOOKUP(H562,'Informe 2025'!$C$6:$M$166,11,FALSE)</f>
        <v>1</v>
      </c>
    </row>
    <row r="563" spans="1:9" x14ac:dyDescent="0.25">
      <c r="A563" s="2">
        <v>47</v>
      </c>
      <c r="B563" t="str">
        <f>VLOOKUP(A563,'Informe 2025'!$1:$1048576,2,FALSE)</f>
        <v>JUNIO</v>
      </c>
      <c r="C563" t="s">
        <v>437</v>
      </c>
      <c r="D563" s="20" t="str">
        <f>VLOOKUP(C563,ID!$1:$1048576,4,FALSE)</f>
        <v>102382</v>
      </c>
      <c r="E563" s="20" t="str">
        <f>VLOOKUP(C563,ID!$1:$1048576,3,FALSE)</f>
        <v xml:space="preserve"> NATALIA ISABEL</v>
      </c>
      <c r="F563" s="20" t="str">
        <f>VLOOKUP(C563,ID!$1:$1048576,2,FALSE)</f>
        <v>NOVOA AGUILERA</v>
      </c>
      <c r="G563" s="2" t="str">
        <f>VLOOKUP(D563,CORREOS!$A$2:$B$570,2,FALSE)</f>
        <v>NNOVOA@ANTAYHOTELES.CL</v>
      </c>
      <c r="H563" s="24" t="str">
        <f>VLOOKUP(A563,'Informe 2025'!$A$5:$C$164,3,FALSE)</f>
        <v>Difusión Politica de Inclusión</v>
      </c>
      <c r="I563">
        <f>VLOOKUP(H563,'Informe 2025'!$C$6:$M$166,11,FALSE)</f>
        <v>1</v>
      </c>
    </row>
    <row r="564" spans="1:9" x14ac:dyDescent="0.25">
      <c r="A564" s="2">
        <v>47</v>
      </c>
      <c r="B564" t="str">
        <f>VLOOKUP(A564,'Informe 2025'!$1:$1048576,2,FALSE)</f>
        <v>JUNIO</v>
      </c>
      <c r="C564" t="s">
        <v>244</v>
      </c>
      <c r="D564" s="20" t="str">
        <f>VLOOKUP(C564,ID!$1:$1048576,4,FALSE)</f>
        <v>102834</v>
      </c>
      <c r="E564" s="20" t="str">
        <f>VLOOKUP(C564,ID!$1:$1048576,3,FALSE)</f>
        <v xml:space="preserve"> DANIEL ROMUALDO</v>
      </c>
      <c r="F564" s="20" t="str">
        <f>VLOOKUP(C564,ID!$1:$1048576,2,FALSE)</f>
        <v>AGUIRRE MEDINA</v>
      </c>
      <c r="G564" s="2" t="str">
        <f>VLOOKUP(D564,CORREOS!$A$2:$B$570,2,FALSE)</f>
        <v>DAGUIRRE@ANTAYHOTELES.CL</v>
      </c>
      <c r="H564" s="24" t="str">
        <f>VLOOKUP(A564,'Informe 2025'!$A$5:$C$164,3,FALSE)</f>
        <v>Difusión Politica de Inclusión</v>
      </c>
      <c r="I564">
        <f>VLOOKUP(H564,'Informe 2025'!$C$6:$M$166,11,FALSE)</f>
        <v>1</v>
      </c>
    </row>
    <row r="565" spans="1:9" x14ac:dyDescent="0.25">
      <c r="A565" s="2">
        <v>47</v>
      </c>
      <c r="B565" t="str">
        <f>VLOOKUP(A565,'Informe 2025'!$1:$1048576,2,FALSE)</f>
        <v>JUNIO</v>
      </c>
      <c r="C565" t="s">
        <v>372</v>
      </c>
      <c r="D565" s="20" t="str">
        <f>VLOOKUP(C565,ID!$1:$1048576,4,FALSE)</f>
        <v>103010</v>
      </c>
      <c r="E565" s="20" t="str">
        <f>VLOOKUP(C565,ID!$1:$1048576,3,FALSE)</f>
        <v xml:space="preserve"> FERNANDO</v>
      </c>
      <c r="F565" s="20" t="str">
        <f>VLOOKUP(C565,ID!$1:$1048576,2,FALSE)</f>
        <v>GONZALEZ OROZCO</v>
      </c>
      <c r="G565" s="2" t="str">
        <f>VLOOKUP(D565,CORREOS!$A$2:$B$570,2,FALSE)</f>
        <v>FGOROZCO@ANTAYHOTELES.CL</v>
      </c>
      <c r="H565" s="24" t="str">
        <f>VLOOKUP(A565,'Informe 2025'!$A$5:$C$164,3,FALSE)</f>
        <v>Difusión Politica de Inclusión</v>
      </c>
      <c r="I565">
        <f>VLOOKUP(H565,'Informe 2025'!$C$6:$M$166,11,FALSE)</f>
        <v>1</v>
      </c>
    </row>
    <row r="566" spans="1:9" x14ac:dyDescent="0.25">
      <c r="A566" s="2">
        <v>47</v>
      </c>
      <c r="B566" t="str">
        <f>VLOOKUP(A566,'Informe 2025'!$1:$1048576,2,FALSE)</f>
        <v>JUNIO</v>
      </c>
      <c r="C566" t="s">
        <v>531</v>
      </c>
      <c r="D566" s="20" t="str">
        <f>VLOOKUP(C566,ID!$1:$1048576,4,FALSE)</f>
        <v>102866</v>
      </c>
      <c r="E566" s="20" t="str">
        <f>VLOOKUP(C566,ID!$1:$1048576,3,FALSE)</f>
        <v xml:space="preserve"> CRISTOPHER</v>
      </c>
      <c r="F566" s="20" t="str">
        <f>VLOOKUP(C566,ID!$1:$1048576,2,FALSE)</f>
        <v>VILLARROEL LUNA</v>
      </c>
      <c r="G566" s="2" t="str">
        <f>VLOOKUP(D566,CORREOS!$A$2:$B$570,2,FALSE)</f>
        <v>CVILLARROEL@ANTAYHOTELES.CL</v>
      </c>
      <c r="H566" s="24" t="str">
        <f>VLOOKUP(A566,'Informe 2025'!$A$5:$C$164,3,FALSE)</f>
        <v>Difusión Politica de Inclusión</v>
      </c>
      <c r="I566">
        <f>VLOOKUP(H566,'Informe 2025'!$C$6:$M$166,11,FALSE)</f>
        <v>1</v>
      </c>
    </row>
    <row r="567" spans="1:9" x14ac:dyDescent="0.25">
      <c r="A567" s="2">
        <v>47</v>
      </c>
      <c r="B567" t="str">
        <f>VLOOKUP(A567,'Informe 2025'!$1:$1048576,2,FALSE)</f>
        <v>JUNIO</v>
      </c>
      <c r="C567" t="s">
        <v>1636</v>
      </c>
      <c r="D567" s="20" t="str">
        <f>VLOOKUP(C567,ID!$1:$1048576,4,FALSE)</f>
        <v>104004</v>
      </c>
      <c r="E567" s="20" t="str">
        <f>VLOOKUP(C567,ID!$1:$1048576,3,FALSE)</f>
        <v xml:space="preserve"> RENATO EMILIO</v>
      </c>
      <c r="F567" s="20" t="str">
        <f>VLOOKUP(C567,ID!$1:$1048576,2,FALSE)</f>
        <v>CACERES RODRIGUEZ</v>
      </c>
      <c r="G567" s="2" t="e">
        <f>VLOOKUP(D567,CORREOS!$A$2:$B$570,2,FALSE)</f>
        <v>#N/A</v>
      </c>
      <c r="H567" s="24" t="str">
        <f>VLOOKUP(A567,'Informe 2025'!$A$5:$C$164,3,FALSE)</f>
        <v>Difusión Politica de Inclusión</v>
      </c>
      <c r="I567">
        <f>VLOOKUP(H567,'Informe 2025'!$C$6:$M$166,11,FALSE)</f>
        <v>1</v>
      </c>
    </row>
    <row r="568" spans="1:9" x14ac:dyDescent="0.25">
      <c r="A568" s="2">
        <v>47</v>
      </c>
      <c r="B568" t="str">
        <f>VLOOKUP(A568,'Informe 2025'!$1:$1048576,2,FALSE)</f>
        <v>JUNIO</v>
      </c>
      <c r="C568" t="s">
        <v>276</v>
      </c>
      <c r="D568" s="20" t="str">
        <f>VLOOKUP(C568,ID!$1:$1048576,4,FALSE)</f>
        <v>103681</v>
      </c>
      <c r="E568" s="20" t="str">
        <f>VLOOKUP(C568,ID!$1:$1048576,3,FALSE)</f>
        <v xml:space="preserve"> RODRIGO ESTEBAN</v>
      </c>
      <c r="F568" s="20" t="str">
        <f>VLOOKUP(C568,ID!$1:$1048576,2,FALSE)</f>
        <v>AYALA VILLANUEVA</v>
      </c>
      <c r="G568" s="2" t="str">
        <f>VLOOKUP(D568,CORREOS!$A$2:$B$570,2,FALSE)</f>
        <v>RAYALA@ANTAYHOTELES.CL</v>
      </c>
      <c r="H568" s="24" t="str">
        <f>VLOOKUP(A568,'Informe 2025'!$A$5:$C$164,3,FALSE)</f>
        <v>Difusión Politica de Inclusión</v>
      </c>
      <c r="I568">
        <f>VLOOKUP(H568,'Informe 2025'!$C$6:$M$166,11,FALSE)</f>
        <v>1</v>
      </c>
    </row>
    <row r="569" spans="1:9" x14ac:dyDescent="0.25">
      <c r="A569" s="2">
        <v>47</v>
      </c>
      <c r="B569" t="str">
        <f>VLOOKUP(A569,'Informe 2025'!$1:$1048576,2,FALSE)</f>
        <v>JUNIO</v>
      </c>
      <c r="C569" t="s">
        <v>242</v>
      </c>
      <c r="D569" s="20" t="str">
        <f>VLOOKUP(C569,ID!$1:$1048576,4,FALSE)</f>
        <v>102983</v>
      </c>
      <c r="E569" s="20" t="str">
        <f>VLOOKUP(C569,ID!$1:$1048576,3,FALSE)</f>
        <v xml:space="preserve"> MAITTE CONSTANZA</v>
      </c>
      <c r="F569" s="20" t="str">
        <f>VLOOKUP(C569,ID!$1:$1048576,2,FALSE)</f>
        <v>AGUILERA FUENTEALBA</v>
      </c>
      <c r="G569" s="2" t="str">
        <f>VLOOKUP(D569,CORREOS!$A$2:$B$570,2,FALSE)</f>
        <v>MAFUENTEALBA@ANTAYHOTELES.CL</v>
      </c>
      <c r="H569" s="24" t="str">
        <f>VLOOKUP(A569,'Informe 2025'!$A$5:$C$164,3,FALSE)</f>
        <v>Difusión Politica de Inclusión</v>
      </c>
      <c r="I569">
        <f>VLOOKUP(H569,'Informe 2025'!$C$6:$M$166,11,FALSE)</f>
        <v>1</v>
      </c>
    </row>
    <row r="570" spans="1:9" x14ac:dyDescent="0.25">
      <c r="A570" s="2">
        <v>47</v>
      </c>
      <c r="B570" t="str">
        <f>VLOOKUP(A570,'Informe 2025'!$1:$1048576,2,FALSE)</f>
        <v>JUNIO</v>
      </c>
      <c r="C570" t="s">
        <v>1928</v>
      </c>
      <c r="D570" s="20" t="e">
        <f>VLOOKUP(C570,ID!$1:$1048576,4,FALSE)</f>
        <v>#N/A</v>
      </c>
      <c r="E570" s="20" t="e">
        <f>VLOOKUP(C570,ID!$1:$1048576,3,FALSE)</f>
        <v>#N/A</v>
      </c>
      <c r="F570" s="20" t="e">
        <f>VLOOKUP(C570,ID!$1:$1048576,2,FALSE)</f>
        <v>#N/A</v>
      </c>
      <c r="G570" s="2" t="e">
        <f>VLOOKUP(D570,CORREOS!$A$2:$B$570,2,FALSE)</f>
        <v>#N/A</v>
      </c>
      <c r="H570" s="24" t="str">
        <f>VLOOKUP(A570,'Informe 2025'!$A$5:$C$164,3,FALSE)</f>
        <v>Difusión Politica de Inclusión</v>
      </c>
      <c r="I570">
        <f>VLOOKUP(H570,'Informe 2025'!$C$6:$M$166,11,FALSE)</f>
        <v>1</v>
      </c>
    </row>
    <row r="571" spans="1:9" x14ac:dyDescent="0.25">
      <c r="A571" s="2">
        <v>47</v>
      </c>
      <c r="B571" t="str">
        <f>VLOOKUP(A571,'Informe 2025'!$1:$1048576,2,FALSE)</f>
        <v>JUNIO</v>
      </c>
      <c r="C571" t="s">
        <v>473</v>
      </c>
      <c r="D571" s="20" t="str">
        <f>VLOOKUP(C571,ID!$1:$1048576,4,FALSE)</f>
        <v>103172</v>
      </c>
      <c r="E571" s="20" t="str">
        <f>VLOOKUP(C571,ID!$1:$1048576,3,FALSE)</f>
        <v xml:space="preserve"> ROMINA MADDELEINE</v>
      </c>
      <c r="F571" s="20" t="str">
        <f>VLOOKUP(C571,ID!$1:$1048576,2,FALSE)</f>
        <v>RAMOS MARQUEZ</v>
      </c>
      <c r="G571" s="2" t="str">
        <f>VLOOKUP(D571,CORREOS!$A$2:$B$570,2,FALSE)</f>
        <v>RRMARQUEZ@CL.LUCKIA.COM</v>
      </c>
      <c r="H571" s="24" t="str">
        <f>VLOOKUP(A571,'Informe 2025'!$A$5:$C$164,3,FALSE)</f>
        <v>Difusión Politica de Inclusión</v>
      </c>
      <c r="I571">
        <f>VLOOKUP(H571,'Informe 2025'!$C$6:$M$166,11,FALSE)</f>
        <v>1</v>
      </c>
    </row>
    <row r="572" spans="1:9" x14ac:dyDescent="0.25">
      <c r="A572" s="2">
        <v>47</v>
      </c>
      <c r="B572" t="str">
        <f>VLOOKUP(A572,'Informe 2025'!$1:$1048576,2,FALSE)</f>
        <v>JUNIO</v>
      </c>
      <c r="C572" t="s">
        <v>1861</v>
      </c>
      <c r="D572" s="20" t="str">
        <f>VLOOKUP(C572,ID!$1:$1048576,4,FALSE)</f>
        <v>104120</v>
      </c>
      <c r="E572" s="20" t="str">
        <f>VLOOKUP(C572,ID!$1:$1048576,3,FALSE)</f>
        <v xml:space="preserve"> ALISSON DIANA</v>
      </c>
      <c r="F572" s="20" t="str">
        <f>VLOOKUP(C572,ID!$1:$1048576,2,FALSE)</f>
        <v>HAHN VASQUEZ</v>
      </c>
      <c r="G572" s="2" t="e">
        <f>VLOOKUP(D572,CORREOS!$A$2:$B$570,2,FALSE)</f>
        <v>#N/A</v>
      </c>
      <c r="H572" s="24" t="str">
        <f>VLOOKUP(A572,'Informe 2025'!$A$5:$C$164,3,FALSE)</f>
        <v>Difusión Politica de Inclusión</v>
      </c>
      <c r="I572">
        <f>VLOOKUP(H572,'Informe 2025'!$C$6:$M$166,11,FALSE)</f>
        <v>1</v>
      </c>
    </row>
    <row r="573" spans="1:9" x14ac:dyDescent="0.25">
      <c r="A573" s="2">
        <v>47</v>
      </c>
      <c r="B573" t="str">
        <f>VLOOKUP(A573,'Informe 2025'!$1:$1048576,2,FALSE)</f>
        <v>JUNIO</v>
      </c>
      <c r="C573" t="s">
        <v>272</v>
      </c>
      <c r="D573" s="20" t="str">
        <f>VLOOKUP(C573,ID!$1:$1048576,4,FALSE)</f>
        <v>102942</v>
      </c>
      <c r="E573" s="20" t="str">
        <f>VLOOKUP(C573,ID!$1:$1048576,3,FALSE)</f>
        <v xml:space="preserve"> GIULIANA ISIS</v>
      </c>
      <c r="F573" s="20" t="str">
        <f>VLOOKUP(C573,ID!$1:$1048576,2,FALSE)</f>
        <v>ARQUEROS MUÑOZ</v>
      </c>
      <c r="G573" s="2" t="str">
        <f>VLOOKUP(D573,CORREOS!$A$2:$B$570,2,FALSE)</f>
        <v>GAMUNOZ@ANTAYHOTELES.CL</v>
      </c>
      <c r="H573" s="24" t="str">
        <f>VLOOKUP(A573,'Informe 2025'!$A$5:$C$164,3,FALSE)</f>
        <v>Difusión Politica de Inclusión</v>
      </c>
      <c r="I573">
        <f>VLOOKUP(H573,'Informe 2025'!$C$6:$M$166,11,FALSE)</f>
        <v>1</v>
      </c>
    </row>
    <row r="574" spans="1:9" x14ac:dyDescent="0.25">
      <c r="A574" s="2">
        <v>47</v>
      </c>
      <c r="B574" t="str">
        <f>VLOOKUP(A574,'Informe 2025'!$1:$1048576,2,FALSE)</f>
        <v>JUNIO</v>
      </c>
      <c r="C574" t="s">
        <v>488</v>
      </c>
      <c r="D574" s="20" t="str">
        <f>VLOOKUP(C574,ID!$1:$1048576,4,FALSE)</f>
        <v>101691</v>
      </c>
      <c r="E574" s="20" t="str">
        <f>VLOOKUP(C574,ID!$1:$1048576,3,FALSE)</f>
        <v xml:space="preserve"> MARIA JOSE</v>
      </c>
      <c r="F574" s="20" t="str">
        <f>VLOOKUP(C574,ID!$1:$1048576,2,FALSE)</f>
        <v>ROJAS FERNANDEZ</v>
      </c>
      <c r="G574" s="2" t="str">
        <f>VLOOKUP(D574,CORREOS!$A$2:$B$570,2,FALSE)</f>
        <v>MARIAJOSE.ROJAS@ANTAYHOTELES.CL</v>
      </c>
      <c r="H574" s="24" t="str">
        <f>VLOOKUP(A574,'Informe 2025'!$A$5:$C$164,3,FALSE)</f>
        <v>Difusión Politica de Inclusión</v>
      </c>
      <c r="I574">
        <f>VLOOKUP(H574,'Informe 2025'!$C$6:$M$166,11,FALSE)</f>
        <v>1</v>
      </c>
    </row>
    <row r="575" spans="1:9" x14ac:dyDescent="0.25">
      <c r="A575" s="2">
        <v>47</v>
      </c>
      <c r="B575" t="str">
        <f>VLOOKUP(A575,'Informe 2025'!$1:$1048576,2,FALSE)</f>
        <v>JUNIO</v>
      </c>
      <c r="C575" t="s">
        <v>499</v>
      </c>
      <c r="D575" s="20" t="str">
        <f>VLOOKUP(C575,ID!$1:$1048576,4,FALSE)</f>
        <v>103464</v>
      </c>
      <c r="E575" s="20" t="str">
        <f>VLOOKUP(C575,ID!$1:$1048576,3,FALSE)</f>
        <v xml:space="preserve"> DIEGO ANDRES</v>
      </c>
      <c r="F575" s="20" t="str">
        <f>VLOOKUP(C575,ID!$1:$1048576,2,FALSE)</f>
        <v>SANCHEZ SUAREZ</v>
      </c>
      <c r="G575" s="2" t="str">
        <f>VLOOKUP(D575,CORREOS!$A$2:$B$570,2,FALSE)</f>
        <v>DSSUAREZ@CL.LUCKIA.COM</v>
      </c>
      <c r="H575" s="24" t="str">
        <f>VLOOKUP(A575,'Informe 2025'!$A$5:$C$164,3,FALSE)</f>
        <v>Difusión Politica de Inclusión</v>
      </c>
      <c r="I575">
        <f>VLOOKUP(H575,'Informe 2025'!$C$6:$M$166,11,FALSE)</f>
        <v>1</v>
      </c>
    </row>
    <row r="576" spans="1:9" x14ac:dyDescent="0.25">
      <c r="A576" s="2">
        <v>47</v>
      </c>
      <c r="B576" t="str">
        <f>VLOOKUP(A576,'Informe 2025'!$1:$1048576,2,FALSE)</f>
        <v>JUNIO</v>
      </c>
      <c r="C576" t="s">
        <v>415</v>
      </c>
      <c r="D576" s="20" t="str">
        <f>VLOOKUP(C576,ID!$1:$1048576,4,FALSE)</f>
        <v>102041</v>
      </c>
      <c r="E576" s="20" t="str">
        <f>VLOOKUP(C576,ID!$1:$1048576,3,FALSE)</f>
        <v xml:space="preserve"> JUAN ALBERTO</v>
      </c>
      <c r="F576" s="20" t="str">
        <f>VLOOKUP(C576,ID!$1:$1048576,2,FALSE)</f>
        <v>MENDEZ RIVERA</v>
      </c>
      <c r="G576" s="2" t="str">
        <f>VLOOKUP(D576,CORREOS!$A$2:$B$570,2,FALSE)</f>
        <v>JMRIVERA@CL.LUCKIA.COM</v>
      </c>
      <c r="H576" s="24" t="str">
        <f>VLOOKUP(A576,'Informe 2025'!$A$5:$C$164,3,FALSE)</f>
        <v>Difusión Politica de Inclusión</v>
      </c>
      <c r="I576">
        <f>VLOOKUP(H576,'Informe 2025'!$C$6:$M$166,11,FALSE)</f>
        <v>1</v>
      </c>
    </row>
    <row r="577" spans="1:9" x14ac:dyDescent="0.25">
      <c r="A577" s="2">
        <v>47</v>
      </c>
      <c r="B577" t="str">
        <f>VLOOKUP(A577,'Informe 2025'!$1:$1048576,2,FALSE)</f>
        <v>JUNIO</v>
      </c>
      <c r="C577" t="s">
        <v>306</v>
      </c>
      <c r="D577" s="20" t="str">
        <f>VLOOKUP(C577,ID!$1:$1048576,4,FALSE)</f>
        <v>102786</v>
      </c>
      <c r="E577" s="20" t="str">
        <f>VLOOKUP(C577,ID!$1:$1048576,3,FALSE)</f>
        <v xml:space="preserve"> BERNARDITA</v>
      </c>
      <c r="F577" s="20" t="str">
        <f>VLOOKUP(C577,ID!$1:$1048576,2,FALSE)</f>
        <v>CATALAN ROSALES</v>
      </c>
      <c r="G577" s="2" t="str">
        <f>VLOOKUP(D577,CORREOS!$A$2:$B$570,2,FALSE)</f>
        <v>BCATALAN@ANTAYHOTELES.CL</v>
      </c>
      <c r="H577" s="24" t="str">
        <f>VLOOKUP(A577,'Informe 2025'!$A$5:$C$164,3,FALSE)</f>
        <v>Difusión Politica de Inclusión</v>
      </c>
      <c r="I577">
        <f>VLOOKUP(H577,'Informe 2025'!$C$6:$M$166,11,FALSE)</f>
        <v>1</v>
      </c>
    </row>
    <row r="578" spans="1:9" x14ac:dyDescent="0.25">
      <c r="A578" s="2">
        <v>47</v>
      </c>
      <c r="B578" t="str">
        <f>VLOOKUP(A578,'Informe 2025'!$1:$1048576,2,FALSE)</f>
        <v>JUNIO</v>
      </c>
      <c r="C578" t="s">
        <v>263</v>
      </c>
      <c r="D578" s="20" t="str">
        <f>VLOOKUP(C578,ID!$1:$1048576,4,FALSE)</f>
        <v>102863</v>
      </c>
      <c r="E578" s="20" t="str">
        <f>VLOOKUP(C578,ID!$1:$1048576,3,FALSE)</f>
        <v xml:space="preserve"> TAMARA ANDREA</v>
      </c>
      <c r="F578" s="20" t="str">
        <f>VLOOKUP(C578,ID!$1:$1048576,2,FALSE)</f>
        <v>ARAYA BECERRA</v>
      </c>
      <c r="G578" s="2" t="str">
        <f>VLOOKUP(D578,CORREOS!$A$2:$B$570,2,FALSE)</f>
        <v>TARAYA@ANTAYHOTELES.CL</v>
      </c>
      <c r="H578" s="24" t="str">
        <f>VLOOKUP(A578,'Informe 2025'!$A$5:$C$164,3,FALSE)</f>
        <v>Difusión Politica de Inclusión</v>
      </c>
      <c r="I578">
        <f>VLOOKUP(H578,'Informe 2025'!$C$6:$M$166,11,FALSE)</f>
        <v>1</v>
      </c>
    </row>
    <row r="579" spans="1:9" x14ac:dyDescent="0.25">
      <c r="A579" s="2">
        <v>47</v>
      </c>
      <c r="B579" t="str">
        <f>VLOOKUP(A579,'Informe 2025'!$1:$1048576,2,FALSE)</f>
        <v>JUNIO</v>
      </c>
      <c r="C579" t="s">
        <v>256</v>
      </c>
      <c r="D579" s="20" t="str">
        <f>VLOOKUP(C579,ID!$1:$1048576,4,FALSE)</f>
        <v>102830</v>
      </c>
      <c r="E579" s="20" t="str">
        <f>VLOOKUP(C579,ID!$1:$1048576,3,FALSE)</f>
        <v xml:space="preserve"> JENNY</v>
      </c>
      <c r="F579" s="20" t="str">
        <f>VLOOKUP(C579,ID!$1:$1048576,2,FALSE)</f>
        <v>ALVAREZ USECHE</v>
      </c>
      <c r="G579" s="2" t="str">
        <f>VLOOKUP(D579,CORREOS!$A$2:$B$570,2,FALSE)</f>
        <v>JAUSECHE@ANTAYHOTELES.CL</v>
      </c>
      <c r="H579" s="24" t="str">
        <f>VLOOKUP(A579,'Informe 2025'!$A$5:$C$164,3,FALSE)</f>
        <v>Difusión Politica de Inclusión</v>
      </c>
      <c r="I579">
        <f>VLOOKUP(H579,'Informe 2025'!$C$6:$M$166,11,FALSE)</f>
        <v>1</v>
      </c>
    </row>
    <row r="580" spans="1:9" x14ac:dyDescent="0.25">
      <c r="A580" s="2">
        <v>47</v>
      </c>
      <c r="B580" t="str">
        <f>VLOOKUP(A580,'Informe 2025'!$1:$1048576,2,FALSE)</f>
        <v>JUNIO</v>
      </c>
      <c r="C580" t="s">
        <v>447</v>
      </c>
      <c r="D580" s="20" t="str">
        <f>VLOOKUP(C580,ID!$1:$1048576,4,FALSE)</f>
        <v>100450</v>
      </c>
      <c r="E580" s="20" t="str">
        <f>VLOOKUP(C580,ID!$1:$1048576,3,FALSE)</f>
        <v xml:space="preserve"> OSCAR ANDRES</v>
      </c>
      <c r="F580" s="20" t="str">
        <f>VLOOKUP(C580,ID!$1:$1048576,2,FALSE)</f>
        <v>OSSANDON ALCOTA</v>
      </c>
      <c r="G580" s="2" t="str">
        <f>VLOOKUP(D580,CORREOS!$A$2:$B$570,2,FALSE)</f>
        <v>OSCAR.OSSANDON@ANTAYHOTELES.CL</v>
      </c>
      <c r="H580" s="24" t="str">
        <f>VLOOKUP(A580,'Informe 2025'!$A$5:$C$164,3,FALSE)</f>
        <v>Difusión Politica de Inclusión</v>
      </c>
      <c r="I580">
        <f>VLOOKUP(H580,'Informe 2025'!$C$6:$M$166,11,FALSE)</f>
        <v>1</v>
      </c>
    </row>
    <row r="581" spans="1:9" x14ac:dyDescent="0.25">
      <c r="A581" s="2">
        <v>47</v>
      </c>
      <c r="B581" t="str">
        <f>VLOOKUP(A581,'Informe 2025'!$1:$1048576,2,FALSE)</f>
        <v>JUNIO</v>
      </c>
      <c r="C581" t="s">
        <v>430</v>
      </c>
      <c r="D581" s="20" t="str">
        <f>VLOOKUP(C581,ID!$1:$1048576,4,FALSE)</f>
        <v>103427</v>
      </c>
      <c r="E581" s="20" t="str">
        <f>VLOOKUP(C581,ID!$1:$1048576,3,FALSE)</f>
        <v xml:space="preserve"> FRANCISCA PIA</v>
      </c>
      <c r="F581" s="20" t="str">
        <f>VLOOKUP(C581,ID!$1:$1048576,2,FALSE)</f>
        <v>MUÑOZ YEVENES</v>
      </c>
      <c r="G581" s="2" t="str">
        <f>VLOOKUP(D581,CORREOS!$A$2:$B$570,2,FALSE)</f>
        <v>FMYEVENES@CL.LUCKIA.COM</v>
      </c>
      <c r="H581" s="24" t="str">
        <f>VLOOKUP(A581,'Informe 2025'!$A$5:$C$164,3,FALSE)</f>
        <v>Difusión Politica de Inclusión</v>
      </c>
      <c r="I581">
        <f>VLOOKUP(H581,'Informe 2025'!$C$6:$M$166,11,FALSE)</f>
        <v>1</v>
      </c>
    </row>
    <row r="582" spans="1:9" x14ac:dyDescent="0.25">
      <c r="A582" s="2">
        <v>47</v>
      </c>
      <c r="B582" t="str">
        <f>VLOOKUP(A582,'Informe 2025'!$1:$1048576,2,FALSE)</f>
        <v>JUNIO</v>
      </c>
      <c r="C582" t="s">
        <v>480</v>
      </c>
      <c r="D582" s="20" t="str">
        <f>VLOOKUP(C582,ID!$1:$1048576,4,FALSE)</f>
        <v>102384</v>
      </c>
      <c r="E582" s="20" t="str">
        <f>VLOOKUP(C582,ID!$1:$1048576,3,FALSE)</f>
        <v xml:space="preserve"> MARIA JOSE</v>
      </c>
      <c r="F582" s="20" t="str">
        <f>VLOOKUP(C582,ID!$1:$1048576,2,FALSE)</f>
        <v>RIVAS BRUNA</v>
      </c>
      <c r="G582" s="2" t="str">
        <f>VLOOKUP(D582,CORREOS!$A$2:$B$570,2,FALSE)</f>
        <v>MRBRUNA@CL.LUCKIA.COM</v>
      </c>
      <c r="H582" s="24" t="str">
        <f>VLOOKUP(A582,'Informe 2025'!$A$5:$C$164,3,FALSE)</f>
        <v>Difusión Politica de Inclusión</v>
      </c>
      <c r="I582">
        <f>VLOOKUP(H582,'Informe 2025'!$C$6:$M$166,11,FALSE)</f>
        <v>1</v>
      </c>
    </row>
    <row r="583" spans="1:9" x14ac:dyDescent="0.25">
      <c r="A583" s="2">
        <v>48</v>
      </c>
      <c r="B583" t="str">
        <f>VLOOKUP(A583,'Informe 2025'!$1:$1048576,2,FALSE)</f>
        <v>JUNIO</v>
      </c>
      <c r="C583" s="25" t="s">
        <v>362</v>
      </c>
      <c r="D583" s="20" t="str">
        <f>VLOOKUP(C583,ID!$1:$1048576,4,FALSE)</f>
        <v>103348</v>
      </c>
      <c r="E583" s="20" t="str">
        <f>VLOOKUP(C583,ID!$1:$1048576,3,FALSE)</f>
        <v xml:space="preserve"> FRANCISCO</v>
      </c>
      <c r="F583" s="20" t="str">
        <f>VLOOKUP(C583,ID!$1:$1048576,2,FALSE)</f>
        <v>GOMEZ CERQUEIRO</v>
      </c>
      <c r="G583" s="2" t="str">
        <f>VLOOKUP(D583,CORREOS!$A$2:$B$570,2,FALSE)</f>
        <v>FGCERQUEIRO@LUCKIA.COM</v>
      </c>
      <c r="H583" s="24" t="str">
        <f>VLOOKUP(A583,'Informe 2025'!$A$5:$C$164,3,FALSE)</f>
        <v>Formacion cumplimiento normativo</v>
      </c>
      <c r="I583">
        <f>VLOOKUP(H583,'Informe 2025'!$C$6:$M$166,11,FALSE)</f>
        <v>3</v>
      </c>
    </row>
    <row r="584" spans="1:9" x14ac:dyDescent="0.25">
      <c r="A584" s="2">
        <v>48</v>
      </c>
      <c r="B584" t="str">
        <f>VLOOKUP(A584,'Informe 2025'!$1:$1048576,2,FALSE)</f>
        <v>JUNIO</v>
      </c>
      <c r="C584" s="25" t="s">
        <v>509</v>
      </c>
      <c r="D584" s="20" t="str">
        <f>VLOOKUP(C584,ID!$1:$1048576,4,FALSE)</f>
        <v>100156</v>
      </c>
      <c r="E584" s="20" t="str">
        <f>VLOOKUP(C584,ID!$1:$1048576,3,FALSE)</f>
        <v xml:space="preserve"> KENJEI IVAR</v>
      </c>
      <c r="F584" s="20" t="str">
        <f>VLOOKUP(C584,ID!$1:$1048576,2,FALSE)</f>
        <v>STIPELCOVICH STIPELCOVICH</v>
      </c>
      <c r="G584" s="2" t="str">
        <f>VLOOKUP(D584,CORREOS!$A$2:$B$570,2,FALSE)</f>
        <v>KENJEI.STIPELCOVICH@CL.LUCKIA.COM</v>
      </c>
      <c r="H584" s="24" t="str">
        <f>VLOOKUP(A584,'Informe 2025'!$A$5:$C$164,3,FALSE)</f>
        <v>Formacion cumplimiento normativo</v>
      </c>
      <c r="I584">
        <f>VLOOKUP(H584,'Informe 2025'!$C$6:$M$166,11,FALSE)</f>
        <v>3</v>
      </c>
    </row>
    <row r="585" spans="1:9" x14ac:dyDescent="0.25">
      <c r="A585" s="2">
        <v>48</v>
      </c>
      <c r="B585" t="str">
        <f>VLOOKUP(A585,'Informe 2025'!$1:$1048576,2,FALSE)</f>
        <v>JUNIO</v>
      </c>
      <c r="C585" s="25" t="s">
        <v>1644</v>
      </c>
      <c r="D585" s="20" t="str">
        <f>VLOOKUP(C585,ID!$1:$1048576,4,FALSE)</f>
        <v>102452</v>
      </c>
      <c r="E585" s="20" t="str">
        <f>VLOOKUP(C585,ID!$1:$1048576,3,FALSE)</f>
        <v xml:space="preserve"> JOEL JOSE</v>
      </c>
      <c r="F585" s="20" t="str">
        <f>VLOOKUP(C585,ID!$1:$1048576,2,FALSE)</f>
        <v>GONZALEZ VASQUEZ</v>
      </c>
      <c r="G585" s="2" t="e">
        <f>VLOOKUP(D585,CORREOS!$A$2:$B$570,2,FALSE)</f>
        <v>#N/A</v>
      </c>
      <c r="H585" s="24" t="str">
        <f>VLOOKUP(A585,'Informe 2025'!$A$5:$C$164,3,FALSE)</f>
        <v>Formacion cumplimiento normativo</v>
      </c>
      <c r="I585">
        <f>VLOOKUP(H585,'Informe 2025'!$C$6:$M$166,11,FALSE)</f>
        <v>3</v>
      </c>
    </row>
    <row r="586" spans="1:9" x14ac:dyDescent="0.25">
      <c r="A586" s="2">
        <v>48</v>
      </c>
      <c r="B586" t="str">
        <f>VLOOKUP(A586,'Informe 2025'!$1:$1048576,2,FALSE)</f>
        <v>JUNIO</v>
      </c>
      <c r="C586" s="25" t="s">
        <v>450</v>
      </c>
      <c r="D586" s="20" t="str">
        <f>VLOOKUP(C586,ID!$1:$1048576,4,FALSE)</f>
        <v>101327</v>
      </c>
      <c r="E586" s="20" t="str">
        <f>VLOOKUP(C586,ID!$1:$1048576,3,FALSE)</f>
        <v xml:space="preserve"> JOSE ARTURO</v>
      </c>
      <c r="F586" s="20" t="str">
        <f>VLOOKUP(C586,ID!$1:$1048576,2,FALSE)</f>
        <v>PADILLA LAZARO</v>
      </c>
      <c r="G586" s="2" t="str">
        <f>VLOOKUP(D586,CORREOS!$A$2:$B$570,2,FALSE)</f>
        <v>JOSE.PADILLA@CL.LUCKIA.COM</v>
      </c>
      <c r="H586" s="24" t="str">
        <f>VLOOKUP(A586,'Informe 2025'!$A$5:$C$164,3,FALSE)</f>
        <v>Formacion cumplimiento normativo</v>
      </c>
      <c r="I586">
        <f>VLOOKUP(H586,'Informe 2025'!$C$6:$M$166,11,FALSE)</f>
        <v>3</v>
      </c>
    </row>
    <row r="587" spans="1:9" x14ac:dyDescent="0.25">
      <c r="A587" s="2">
        <v>48</v>
      </c>
      <c r="B587" t="str">
        <f>VLOOKUP(A587,'Informe 2025'!$1:$1048576,2,FALSE)</f>
        <v>JUNIO</v>
      </c>
      <c r="C587" t="s">
        <v>243</v>
      </c>
      <c r="D587" s="20" t="str">
        <f>VLOOKUP(C587,ID!$1:$1048576,4,FALSE)</f>
        <v>100348</v>
      </c>
      <c r="E587" s="20" t="str">
        <f>VLOOKUP(C587,ID!$1:$1048576,3,FALSE)</f>
        <v xml:space="preserve"> FATIMA JUDITH</v>
      </c>
      <c r="F587" s="20" t="str">
        <f>VLOOKUP(C587,ID!$1:$1048576,2,FALSE)</f>
        <v>AGUIRRE ESPINOZA</v>
      </c>
      <c r="G587" s="2" t="str">
        <f>VLOOKUP(D587,CORREOS!$A$2:$B$570,2,FALSE)</f>
        <v>JUDITH.AGUIRRE@CL.LUCKIA.COM</v>
      </c>
      <c r="H587" s="24" t="str">
        <f>VLOOKUP(A587,'Informe 2025'!$A$5:$C$164,3,FALSE)</f>
        <v>Formacion cumplimiento normativo</v>
      </c>
      <c r="I587">
        <f>VLOOKUP(H587,'Informe 2025'!$C$6:$M$166,11,FALSE)</f>
        <v>3</v>
      </c>
    </row>
    <row r="588" spans="1:9" x14ac:dyDescent="0.25">
      <c r="A588" s="2">
        <v>48</v>
      </c>
      <c r="B588" t="str">
        <f>VLOOKUP(A588,'Informe 2025'!$1:$1048576,2,FALSE)</f>
        <v>JUNIO</v>
      </c>
      <c r="C588" t="s">
        <v>397</v>
      </c>
      <c r="D588" s="20" t="str">
        <f>VLOOKUP(C588,ID!$1:$1048576,4,FALSE)</f>
        <v>101337</v>
      </c>
      <c r="E588" s="20" t="str">
        <f>VLOOKUP(C588,ID!$1:$1048576,3,FALSE)</f>
        <v xml:space="preserve"> CHRISTIAN FERNANDO</v>
      </c>
      <c r="F588" s="20" t="str">
        <f>VLOOKUP(C588,ID!$1:$1048576,2,FALSE)</f>
        <v>LIRA GONZALEZ</v>
      </c>
      <c r="G588" s="2" t="str">
        <f>VLOOKUP(D588,CORREOS!$A$2:$B$570,2,FALSE)</f>
        <v>CHRISTIAN.LIRA@CL.LUCKIA.COM</v>
      </c>
      <c r="H588" s="24" t="str">
        <f>VLOOKUP(A588,'Informe 2025'!$A$5:$C$164,3,FALSE)</f>
        <v>Formacion cumplimiento normativo</v>
      </c>
      <c r="I588">
        <f>VLOOKUP(H588,'Informe 2025'!$C$6:$M$166,11,FALSE)</f>
        <v>3</v>
      </c>
    </row>
    <row r="589" spans="1:9" x14ac:dyDescent="0.25">
      <c r="A589" s="2">
        <v>48</v>
      </c>
      <c r="B589" t="str">
        <f>VLOOKUP(A589,'Informe 2025'!$1:$1048576,2,FALSE)</f>
        <v>JUNIO</v>
      </c>
      <c r="C589" s="25" t="s">
        <v>262</v>
      </c>
      <c r="D589" s="20" t="str">
        <f>VLOOKUP(C589,ID!$1:$1048576,4,FALSE)</f>
        <v>101555</v>
      </c>
      <c r="E589" s="20" t="str">
        <f>VLOOKUP(C589,ID!$1:$1048576,3,FALSE)</f>
        <v xml:space="preserve"> VICTORIA MACARENA</v>
      </c>
      <c r="F589" s="20" t="str">
        <f>VLOOKUP(C589,ID!$1:$1048576,2,FALSE)</f>
        <v>ARANIBAR BRIONES</v>
      </c>
      <c r="G589" s="2" t="str">
        <f>VLOOKUP(D589,CORREOS!$A$2:$B$570,2,FALSE)</f>
        <v>VICTORIAMACARENA.ARANIBAR@CL.LUCKIA.COM</v>
      </c>
      <c r="H589" s="24" t="str">
        <f>VLOOKUP(A589,'Informe 2025'!$A$5:$C$164,3,FALSE)</f>
        <v>Formacion cumplimiento normativo</v>
      </c>
      <c r="I589">
        <f>VLOOKUP(H589,'Informe 2025'!$C$6:$M$166,11,FALSE)</f>
        <v>3</v>
      </c>
    </row>
    <row r="590" spans="1:9" x14ac:dyDescent="0.25">
      <c r="A590" s="2">
        <v>48</v>
      </c>
      <c r="B590" t="str">
        <f>VLOOKUP(A590,'Informe 2025'!$1:$1048576,2,FALSE)</f>
        <v>JUNIO</v>
      </c>
      <c r="C590" s="25" t="s">
        <v>482</v>
      </c>
      <c r="D590" s="20" t="str">
        <f>VLOOKUP(C590,ID!$1:$1048576,4,FALSE)</f>
        <v>101320</v>
      </c>
      <c r="E590" s="20" t="str">
        <f>VLOOKUP(C590,ID!$1:$1048576,3,FALSE)</f>
        <v xml:space="preserve"> JAVIERA FERNANDA</v>
      </c>
      <c r="F590" s="20" t="str">
        <f>VLOOKUP(C590,ID!$1:$1048576,2,FALSE)</f>
        <v>RIVERA PEREZ</v>
      </c>
      <c r="G590" s="2" t="str">
        <f>VLOOKUP(D590,CORREOS!$A$2:$B$570,2,FALSE)</f>
        <v>JAVIERA.RIVERA@CL.LUCKIA.COM</v>
      </c>
      <c r="H590" s="24" t="str">
        <f>VLOOKUP(A590,'Informe 2025'!$A$5:$C$164,3,FALSE)</f>
        <v>Formacion cumplimiento normativo</v>
      </c>
      <c r="I590">
        <f>VLOOKUP(H590,'Informe 2025'!$C$6:$M$166,11,FALSE)</f>
        <v>3</v>
      </c>
    </row>
    <row r="591" spans="1:9" x14ac:dyDescent="0.25">
      <c r="A591" s="2">
        <v>49</v>
      </c>
      <c r="B591" t="str">
        <f>VLOOKUP(A591,'Informe 2025'!$1:$1048576,2,FALSE)</f>
        <v>JUNIO</v>
      </c>
      <c r="C591" s="25" t="s">
        <v>487</v>
      </c>
      <c r="D591" s="20" t="str">
        <f>VLOOKUP(C591,ID!$1:$1048576,4,FALSE)</f>
        <v>101978</v>
      </c>
      <c r="E591" s="20" t="str">
        <f>VLOOKUP(C591,ID!$1:$1048576,3,FALSE)</f>
        <v xml:space="preserve"> ARANTZA DOMINIQUE FIONA</v>
      </c>
      <c r="F591" s="20" t="str">
        <f>VLOOKUP(C591,ID!$1:$1048576,2,FALSE)</f>
        <v>ROJAS CALLEJAS</v>
      </c>
      <c r="G591" s="2" t="str">
        <f>VLOOKUP(D591,CORREOS!$A$2:$B$570,2,FALSE)</f>
        <v>ARCALLEJAS@ANTAYHOTELES.CL</v>
      </c>
      <c r="H591" s="24" t="str">
        <f>VLOOKUP(A591,'Informe 2025'!$A$5:$C$164,3,FALSE)</f>
        <v>Formacion cumplimiento normativo</v>
      </c>
      <c r="I591">
        <f>VLOOKUP(H591,'Informe 2025'!$C$6:$M$166,11,FALSE)</f>
        <v>3</v>
      </c>
    </row>
    <row r="592" spans="1:9" x14ac:dyDescent="0.25">
      <c r="A592" s="2">
        <v>49</v>
      </c>
      <c r="B592" t="str">
        <f>VLOOKUP(A592,'Informe 2025'!$1:$1048576,2,FALSE)</f>
        <v>JUNIO</v>
      </c>
      <c r="C592" s="25" t="s">
        <v>512</v>
      </c>
      <c r="D592" s="20" t="str">
        <f>VLOOKUP(C592,ID!$1:$1048576,4,FALSE)</f>
        <v>101563</v>
      </c>
      <c r="E592" s="20" t="str">
        <f>VLOOKUP(C592,ID!$1:$1048576,3,FALSE)</f>
        <v xml:space="preserve"> FRANCISCO JAVIER</v>
      </c>
      <c r="F592" s="20" t="str">
        <f>VLOOKUP(C592,ID!$1:$1048576,2,FALSE)</f>
        <v>TELLO CARDENAS</v>
      </c>
      <c r="G592" s="2" t="str">
        <f>VLOOKUP(D592,CORREOS!$A$2:$B$570,2,FALSE)</f>
        <v>FRANCISCOJAVIER.TELLO@ANTAYHOTELES.CL</v>
      </c>
      <c r="H592" s="24" t="str">
        <f>VLOOKUP(A592,'Informe 2025'!$A$5:$C$164,3,FALSE)</f>
        <v>Formacion cumplimiento normativo</v>
      </c>
      <c r="I592">
        <f>VLOOKUP(H592,'Informe 2025'!$C$6:$M$166,11,FALSE)</f>
        <v>3</v>
      </c>
    </row>
    <row r="593" spans="1:9" x14ac:dyDescent="0.25">
      <c r="A593" s="2">
        <v>49</v>
      </c>
      <c r="B593" t="str">
        <f>VLOOKUP(A593,'Informe 2025'!$1:$1048576,2,FALSE)</f>
        <v>JUNIO</v>
      </c>
      <c r="C593" s="25" t="s">
        <v>437</v>
      </c>
      <c r="D593" s="20" t="str">
        <f>VLOOKUP(C593,ID!$1:$1048576,4,FALSE)</f>
        <v>102382</v>
      </c>
      <c r="E593" s="20" t="str">
        <f>VLOOKUP(C593,ID!$1:$1048576,3,FALSE)</f>
        <v xml:space="preserve"> NATALIA ISABEL</v>
      </c>
      <c r="F593" s="20" t="str">
        <f>VLOOKUP(C593,ID!$1:$1048576,2,FALSE)</f>
        <v>NOVOA AGUILERA</v>
      </c>
      <c r="G593" s="2" t="str">
        <f>VLOOKUP(D593,CORREOS!$A$2:$B$570,2,FALSE)</f>
        <v>NNOVOA@ANTAYHOTELES.CL</v>
      </c>
      <c r="H593" s="24" t="str">
        <f>VLOOKUP(A593,'Informe 2025'!$A$5:$C$164,3,FALSE)</f>
        <v>Formacion cumplimiento normativo</v>
      </c>
      <c r="I593">
        <f>VLOOKUP(H593,'Informe 2025'!$C$6:$M$166,11,FALSE)</f>
        <v>3</v>
      </c>
    </row>
    <row r="594" spans="1:9" x14ac:dyDescent="0.25">
      <c r="A594" s="2">
        <v>49</v>
      </c>
      <c r="B594" t="str">
        <f>VLOOKUP(A594,'Informe 2025'!$1:$1048576,2,FALSE)</f>
        <v>JUNIO</v>
      </c>
      <c r="C594" s="25" t="s">
        <v>471</v>
      </c>
      <c r="D594" s="20" t="str">
        <f>VLOOKUP(C594,ID!$1:$1048576,4,FALSE)</f>
        <v>101575</v>
      </c>
      <c r="E594" s="20" t="str">
        <f>VLOOKUP(C594,ID!$1:$1048576,3,FALSE)</f>
        <v xml:space="preserve"> PRICILA FERNANDA</v>
      </c>
      <c r="F594" s="20" t="str">
        <f>VLOOKUP(C594,ID!$1:$1048576,2,FALSE)</f>
        <v>RAMIREZ ANDAUR</v>
      </c>
      <c r="G594" s="2" t="str">
        <f>VLOOKUP(D594,CORREOS!$A$2:$B$570,2,FALSE)</f>
        <v>PRICILAFERNANDA.RAMIREZ@ANTAYHOTELES.CL</v>
      </c>
      <c r="H594" s="24" t="str">
        <f>VLOOKUP(A594,'Informe 2025'!$A$5:$C$164,3,FALSE)</f>
        <v>Formacion cumplimiento normativo</v>
      </c>
      <c r="I594">
        <f>VLOOKUP(H594,'Informe 2025'!$C$6:$M$166,11,FALSE)</f>
        <v>3</v>
      </c>
    </row>
    <row r="595" spans="1:9" x14ac:dyDescent="0.25">
      <c r="A595" s="2">
        <v>49</v>
      </c>
      <c r="B595" t="str">
        <f>VLOOKUP(A595,'Informe 2025'!$1:$1048576,2,FALSE)</f>
        <v>JUNIO</v>
      </c>
      <c r="C595" s="25" t="s">
        <v>374</v>
      </c>
      <c r="D595" s="20" t="str">
        <f>VLOOKUP(C595,ID!$1:$1048576,4,FALSE)</f>
        <v>101807</v>
      </c>
      <c r="E595" s="20" t="str">
        <f>VLOOKUP(C595,ID!$1:$1048576,3,FALSE)</f>
        <v xml:space="preserve"> MIGUEL PATRICIO</v>
      </c>
      <c r="F595" s="20" t="str">
        <f>VLOOKUP(C595,ID!$1:$1048576,2,FALSE)</f>
        <v>GONZALEZ TORRES</v>
      </c>
      <c r="G595" s="2" t="str">
        <f>VLOOKUP(D595,CORREOS!$A$2:$B$570,2,FALSE)</f>
        <v>MIGUEL.GONZALEZ@CL.LUCKIA.COM</v>
      </c>
      <c r="H595" s="24" t="str">
        <f>VLOOKUP(A595,'Informe 2025'!$A$5:$C$164,3,FALSE)</f>
        <v>Formacion cumplimiento normativo</v>
      </c>
      <c r="I595">
        <f>VLOOKUP(H595,'Informe 2025'!$C$6:$M$166,11,FALSE)</f>
        <v>3</v>
      </c>
    </row>
    <row r="596" spans="1:9" x14ac:dyDescent="0.25">
      <c r="A596" s="2">
        <v>49</v>
      </c>
      <c r="B596" t="str">
        <f>VLOOKUP(A596,'Informe 2025'!$1:$1048576,2,FALSE)</f>
        <v>JUNIO</v>
      </c>
      <c r="C596" s="25" t="s">
        <v>259</v>
      </c>
      <c r="D596" s="20" t="str">
        <f>VLOOKUP(C596,ID!$1:$1048576,4,FALSE)</f>
        <v>101768</v>
      </c>
      <c r="E596" s="20" t="str">
        <f>VLOOKUP(C596,ID!$1:$1048576,3,FALSE)</f>
        <v xml:space="preserve"> GONZALO EDUARDO</v>
      </c>
      <c r="F596" s="20" t="str">
        <f>VLOOKUP(C596,ID!$1:$1048576,2,FALSE)</f>
        <v>ANTEZANA POBLETE</v>
      </c>
      <c r="G596" s="2" t="str">
        <f>VLOOKUP(D596,CORREOS!$A$2:$B$570,2,FALSE)</f>
        <v>GANTEZANA@ANTAYHOTELES.CL</v>
      </c>
      <c r="H596" s="24" t="str">
        <f>VLOOKUP(A596,'Informe 2025'!$A$5:$C$164,3,FALSE)</f>
        <v>Formacion cumplimiento normativo</v>
      </c>
      <c r="I596">
        <f>VLOOKUP(H596,'Informe 2025'!$C$6:$M$166,11,FALSE)</f>
        <v>3</v>
      </c>
    </row>
    <row r="597" spans="1:9" x14ac:dyDescent="0.25">
      <c r="A597" s="2">
        <v>49</v>
      </c>
      <c r="B597" t="str">
        <f>VLOOKUP(A597,'Informe 2025'!$1:$1048576,2,FALSE)</f>
        <v>JUNIO</v>
      </c>
      <c r="C597" s="25" t="s">
        <v>531</v>
      </c>
      <c r="D597" s="20" t="str">
        <f>VLOOKUP(C597,ID!$1:$1048576,4,FALSE)</f>
        <v>102866</v>
      </c>
      <c r="E597" s="20" t="str">
        <f>VLOOKUP(C597,ID!$1:$1048576,3,FALSE)</f>
        <v xml:space="preserve"> CRISTOPHER</v>
      </c>
      <c r="F597" s="20" t="str">
        <f>VLOOKUP(C597,ID!$1:$1048576,2,FALSE)</f>
        <v>VILLARROEL LUNA</v>
      </c>
      <c r="G597" s="2" t="str">
        <f>VLOOKUP(D597,CORREOS!$A$2:$B$570,2,FALSE)</f>
        <v>CVILLARROEL@ANTAYHOTELES.CL</v>
      </c>
      <c r="H597" s="24" t="str">
        <f>VLOOKUP(A597,'Informe 2025'!$A$5:$C$164,3,FALSE)</f>
        <v>Formacion cumplimiento normativo</v>
      </c>
      <c r="I597">
        <f>VLOOKUP(H597,'Informe 2025'!$C$6:$M$166,11,FALSE)</f>
        <v>3</v>
      </c>
    </row>
    <row r="598" spans="1:9" x14ac:dyDescent="0.25">
      <c r="A598" s="2">
        <v>49</v>
      </c>
      <c r="B598" t="str">
        <f>VLOOKUP(A598,'Informe 2025'!$1:$1048576,2,FALSE)</f>
        <v>JUNIO</v>
      </c>
      <c r="C598" s="25" t="s">
        <v>507</v>
      </c>
      <c r="D598" s="20" t="str">
        <f>VLOOKUP(C598,ID!$1:$1048576,4,FALSE)</f>
        <v>101892</v>
      </c>
      <c r="E598" s="20" t="str">
        <f>VLOOKUP(C598,ID!$1:$1048576,3,FALSE)</f>
        <v xml:space="preserve"> ALEJANDRO LUIS</v>
      </c>
      <c r="F598" s="20" t="str">
        <f>VLOOKUP(C598,ID!$1:$1048576,2,FALSE)</f>
        <v>SOLIS AGUIRRE</v>
      </c>
      <c r="G598" s="2" t="str">
        <f>VLOOKUP(D598,CORREOS!$A$2:$B$570,2,FALSE)</f>
        <v>ASOLIS@ANTAYHOTELES.CL</v>
      </c>
      <c r="H598" s="24" t="str">
        <f>VLOOKUP(A598,'Informe 2025'!$A$5:$C$164,3,FALSE)</f>
        <v>Formacion cumplimiento normativo</v>
      </c>
      <c r="I598">
        <f>VLOOKUP(H598,'Informe 2025'!$C$6:$M$166,11,FALSE)</f>
        <v>3</v>
      </c>
    </row>
    <row r="599" spans="1:9" x14ac:dyDescent="0.25">
      <c r="A599" s="2">
        <v>49</v>
      </c>
      <c r="B599" t="str">
        <f>VLOOKUP(A599,'Informe 2025'!$1:$1048576,2,FALSE)</f>
        <v>JUNIO</v>
      </c>
      <c r="C599" s="25" t="s">
        <v>514</v>
      </c>
      <c r="D599" s="20" t="str">
        <f>VLOOKUP(C599,ID!$1:$1048576,4,FALSE)</f>
        <v>101104</v>
      </c>
      <c r="E599" s="20" t="str">
        <f>VLOOKUP(C599,ID!$1:$1048576,3,FALSE)</f>
        <v xml:space="preserve"> LEANDRO CARLOS</v>
      </c>
      <c r="F599" s="20" t="str">
        <f>VLOOKUP(C599,ID!$1:$1048576,2,FALSE)</f>
        <v>TORRES SALAS</v>
      </c>
      <c r="G599" s="2" t="str">
        <f>VLOOKUP(D599,CORREOS!$A$2:$B$570,2,FALSE)</f>
        <v>LEANDROCARLOS.TORRES@ANTAYHOTELES.CL</v>
      </c>
      <c r="H599" s="24" t="str">
        <f>VLOOKUP(A599,'Informe 2025'!$A$5:$C$164,3,FALSE)</f>
        <v>Formacion cumplimiento normativo</v>
      </c>
      <c r="I599">
        <f>VLOOKUP(H599,'Informe 2025'!$C$6:$M$166,11,FALSE)</f>
        <v>3</v>
      </c>
    </row>
    <row r="600" spans="1:9" x14ac:dyDescent="0.25">
      <c r="A600" s="2">
        <v>49</v>
      </c>
      <c r="B600" t="str">
        <f>VLOOKUP(A600,'Informe 2025'!$1:$1048576,2,FALSE)</f>
        <v>JUNIO</v>
      </c>
      <c r="C600" s="25" t="s">
        <v>1664</v>
      </c>
      <c r="D600" s="20" t="str">
        <f>VLOOKUP(C600,ID!$1:$1048576,4,FALSE)</f>
        <v>101425</v>
      </c>
      <c r="E600" s="20" t="str">
        <f>VLOOKUP(C600,ID!$1:$1048576,3,FALSE)</f>
        <v xml:space="preserve"> KAREN PAMELA</v>
      </c>
      <c r="F600" s="20" t="str">
        <f>VLOOKUP(C600,ID!$1:$1048576,2,FALSE)</f>
        <v>SANTANA JUAREZ</v>
      </c>
      <c r="G600" s="2" t="str">
        <f>VLOOKUP(D600,CORREOS!$A$2:$B$570,2,FALSE)</f>
        <v>KARENPAMELA.SANTANA@antayhoteles.cl</v>
      </c>
      <c r="H600" s="24" t="str">
        <f>VLOOKUP(A600,'Informe 2025'!$A$5:$C$164,3,FALSE)</f>
        <v>Formacion cumplimiento normativo</v>
      </c>
      <c r="I600">
        <f>VLOOKUP(H600,'Informe 2025'!$C$6:$M$166,11,FALSE)</f>
        <v>3</v>
      </c>
    </row>
    <row r="601" spans="1:9" x14ac:dyDescent="0.25">
      <c r="A601" s="2">
        <v>49</v>
      </c>
      <c r="B601" t="str">
        <f>VLOOKUP(A601,'Informe 2025'!$1:$1048576,2,FALSE)</f>
        <v>JUNIO</v>
      </c>
      <c r="C601" s="25" t="s">
        <v>468</v>
      </c>
      <c r="D601" s="20" t="str">
        <f>VLOOKUP(C601,ID!$1:$1048576,4,FALSE)</f>
        <v>100980</v>
      </c>
      <c r="E601" s="20" t="str">
        <f>VLOOKUP(C601,ID!$1:$1048576,3,FALSE)</f>
        <v xml:space="preserve"> STEFANO</v>
      </c>
      <c r="F601" s="20" t="str">
        <f>VLOOKUP(C601,ID!$1:$1048576,2,FALSE)</f>
        <v>PULS</v>
      </c>
      <c r="G601" s="2" t="str">
        <f>VLOOKUP(D601,CORREOS!$A$2:$B$570,2,FALSE)</f>
        <v>SPULS@ANTAYHOTELES.CL</v>
      </c>
      <c r="H601" s="24" t="str">
        <f>VLOOKUP(A601,'Informe 2025'!$A$5:$C$164,3,FALSE)</f>
        <v>Formacion cumplimiento normativo</v>
      </c>
      <c r="I601">
        <f>VLOOKUP(H601,'Informe 2025'!$C$6:$M$166,11,FALSE)</f>
        <v>3</v>
      </c>
    </row>
    <row r="602" spans="1:9" x14ac:dyDescent="0.25">
      <c r="A602" s="2">
        <v>49</v>
      </c>
      <c r="B602" t="str">
        <f>VLOOKUP(A602,'Informe 2025'!$1:$1048576,2,FALSE)</f>
        <v>JUNIO</v>
      </c>
      <c r="C602" s="25" t="s">
        <v>290</v>
      </c>
      <c r="D602" s="20" t="str">
        <f>VLOOKUP(C602,ID!$1:$1048576,4,FALSE)</f>
        <v>101522</v>
      </c>
      <c r="E602" s="20" t="str">
        <f>VLOOKUP(C602,ID!$1:$1048576,3,FALSE)</f>
        <v xml:space="preserve"> ADAN MOISES</v>
      </c>
      <c r="F602" s="20" t="str">
        <f>VLOOKUP(C602,ID!$1:$1048576,2,FALSE)</f>
        <v>CARRASCO ANABALON</v>
      </c>
      <c r="G602" s="2" t="str">
        <f>VLOOKUP(D602,CORREOS!$A$2:$B$570,2,FALSE)</f>
        <v>ADANMOISES.CARRASCO@CL.LUCKIA.COM</v>
      </c>
      <c r="H602" s="24" t="str">
        <f>VLOOKUP(A602,'Informe 2025'!$A$5:$C$164,3,FALSE)</f>
        <v>Formacion cumplimiento normativo</v>
      </c>
      <c r="I602">
        <f>VLOOKUP(H602,'Informe 2025'!$C$6:$M$166,11,FALSE)</f>
        <v>3</v>
      </c>
    </row>
    <row r="603" spans="1:9" x14ac:dyDescent="0.25">
      <c r="A603" s="2">
        <v>49</v>
      </c>
      <c r="B603" t="str">
        <f>VLOOKUP(A603,'Informe 2025'!$1:$1048576,2,FALSE)</f>
        <v>JUNIO</v>
      </c>
      <c r="C603" s="25" t="s">
        <v>318</v>
      </c>
      <c r="D603" s="20" t="str">
        <f>VLOOKUP(C603,ID!$1:$1048576,4,FALSE)</f>
        <v>102675</v>
      </c>
      <c r="E603" s="20" t="str">
        <f>VLOOKUP(C603,ID!$1:$1048576,3,FALSE)</f>
        <v xml:space="preserve"> CYNTHIA</v>
      </c>
      <c r="F603" s="20" t="str">
        <f>VLOOKUP(C603,ID!$1:$1048576,2,FALSE)</f>
        <v>CONTRERAS SOLA</v>
      </c>
      <c r="G603" s="2" t="str">
        <f>VLOOKUP(D603,CORREOS!$A$2:$B$570,2,FALSE)</f>
        <v>CCONTRERAS@ANTAYHOTELES.CL</v>
      </c>
      <c r="H603" s="24" t="str">
        <f>VLOOKUP(A603,'Informe 2025'!$A$5:$C$164,3,FALSE)</f>
        <v>Formacion cumplimiento normativo</v>
      </c>
      <c r="I603">
        <f>VLOOKUP(H603,'Informe 2025'!$C$6:$M$166,11,FALSE)</f>
        <v>3</v>
      </c>
    </row>
    <row r="604" spans="1:9" x14ac:dyDescent="0.25">
      <c r="A604" s="2">
        <v>49</v>
      </c>
      <c r="B604" t="str">
        <f>VLOOKUP(A604,'Informe 2025'!$1:$1048576,2,FALSE)</f>
        <v>JUNIO</v>
      </c>
      <c r="C604" s="25" t="s">
        <v>320</v>
      </c>
      <c r="D604" s="20" t="str">
        <f>VLOOKUP(C604,ID!$1:$1048576,4,FALSE)</f>
        <v>102424</v>
      </c>
      <c r="E604" s="20" t="str">
        <f>VLOOKUP(C604,ID!$1:$1048576,3,FALSE)</f>
        <v xml:space="preserve"> NOEMI MONSERRAT</v>
      </c>
      <c r="F604" s="20" t="str">
        <f>VLOOKUP(C604,ID!$1:$1048576,2,FALSE)</f>
        <v>COPAJA MORALES</v>
      </c>
      <c r="G604" s="2" t="str">
        <f>VLOOKUP(D604,CORREOS!$A$2:$B$570,2,FALSE)</f>
        <v>NCOPAJA@ANTAYHOTELES.CL</v>
      </c>
      <c r="H604" s="24" t="str">
        <f>VLOOKUP(A604,'Informe 2025'!$A$5:$C$164,3,FALSE)</f>
        <v>Formacion cumplimiento normativo</v>
      </c>
      <c r="I604">
        <f>VLOOKUP(H604,'Informe 2025'!$C$6:$M$166,11,FALSE)</f>
        <v>3</v>
      </c>
    </row>
    <row r="605" spans="1:9" x14ac:dyDescent="0.25">
      <c r="A605" s="2">
        <v>49</v>
      </c>
      <c r="B605" t="str">
        <f>VLOOKUP(A605,'Informe 2025'!$1:$1048576,2,FALSE)</f>
        <v>JUNIO</v>
      </c>
      <c r="C605" s="25" t="s">
        <v>405</v>
      </c>
      <c r="D605" s="20" t="str">
        <f>VLOOKUP(C605,ID!$1:$1048576,4,FALSE)</f>
        <v>100093</v>
      </c>
      <c r="E605" s="20" t="str">
        <f>VLOOKUP(C605,ID!$1:$1048576,3,FALSE)</f>
        <v xml:space="preserve"> YOHANNA PRISCILLA</v>
      </c>
      <c r="F605" s="20" t="str">
        <f>VLOOKUP(C605,ID!$1:$1048576,2,FALSE)</f>
        <v>MANQUE JIMENEZ</v>
      </c>
      <c r="G605" s="2" t="str">
        <f>VLOOKUP(D605,CORREOS!$A$2:$B$570,2,FALSE)</f>
        <v>YOHANNA.MANQUE@ANTAYHOTELES.CL</v>
      </c>
      <c r="H605" s="24" t="str">
        <f>VLOOKUP(A605,'Informe 2025'!$A$5:$C$164,3,FALSE)</f>
        <v>Formacion cumplimiento normativo</v>
      </c>
      <c r="I605">
        <f>VLOOKUP(H605,'Informe 2025'!$C$6:$M$166,11,FALSE)</f>
        <v>3</v>
      </c>
    </row>
    <row r="606" spans="1:9" x14ac:dyDescent="0.25">
      <c r="A606" s="2">
        <v>49</v>
      </c>
      <c r="B606" t="str">
        <f>VLOOKUP(A606,'Informe 2025'!$1:$1048576,2,FALSE)</f>
        <v>JUNIO</v>
      </c>
      <c r="C606" s="25" t="s">
        <v>269</v>
      </c>
      <c r="D606" s="20" t="str">
        <f>VLOOKUP(C606,ID!$1:$1048576,4,FALSE)</f>
        <v>101662</v>
      </c>
      <c r="E606" s="20" t="str">
        <f>VLOOKUP(C606,ID!$1:$1048576,3,FALSE)</f>
        <v xml:space="preserve"> CAROLINA ANDREA</v>
      </c>
      <c r="F606" s="20" t="str">
        <f>VLOOKUP(C606,ID!$1:$1048576,2,FALSE)</f>
        <v>ARIAS AEDO</v>
      </c>
      <c r="G606" s="2" t="str">
        <f>VLOOKUP(D606,CORREOS!$A$2:$B$570,2,FALSE)</f>
        <v>CAROLINAANDREA.ARIAS@ANTAYHOTELES.CL</v>
      </c>
      <c r="H606" s="24" t="str">
        <f>VLOOKUP(A606,'Informe 2025'!$A$5:$C$164,3,FALSE)</f>
        <v>Formacion cumplimiento normativo</v>
      </c>
      <c r="I606">
        <f>VLOOKUP(H606,'Informe 2025'!$C$6:$M$166,11,FALSE)</f>
        <v>3</v>
      </c>
    </row>
    <row r="607" spans="1:9" x14ac:dyDescent="0.25">
      <c r="A607" s="2">
        <v>49</v>
      </c>
      <c r="B607" t="str">
        <f>VLOOKUP(A607,'Informe 2025'!$1:$1048576,2,FALSE)</f>
        <v>JUNIO</v>
      </c>
      <c r="C607" s="25" t="s">
        <v>289</v>
      </c>
      <c r="D607" s="20" t="str">
        <f>VLOOKUP(C607,ID!$1:$1048576,4,FALSE)</f>
        <v>101866</v>
      </c>
      <c r="E607" s="20" t="str">
        <f>VLOOKUP(C607,ID!$1:$1048576,3,FALSE)</f>
        <v xml:space="preserve"> MELANIE EUGENIA</v>
      </c>
      <c r="F607" s="20" t="str">
        <f>VLOOKUP(C607,ID!$1:$1048576,2,FALSE)</f>
        <v>CARMONA JAIME</v>
      </c>
      <c r="G607" s="2" t="str">
        <f>VLOOKUP(D607,CORREOS!$A$2:$B$570,2,FALSE)</f>
        <v>MCJAIME@ANTAYHOTELES.CL</v>
      </c>
      <c r="H607" s="24" t="str">
        <f>VLOOKUP(A607,'Informe 2025'!$A$5:$C$164,3,FALSE)</f>
        <v>Formacion cumplimiento normativo</v>
      </c>
      <c r="I607">
        <f>VLOOKUP(H607,'Informe 2025'!$C$6:$M$166,11,FALSE)</f>
        <v>3</v>
      </c>
    </row>
    <row r="608" spans="1:9" x14ac:dyDescent="0.25">
      <c r="A608" s="2">
        <v>49</v>
      </c>
      <c r="B608" t="str">
        <f>VLOOKUP(A608,'Informe 2025'!$1:$1048576,2,FALSE)</f>
        <v>JUNIO</v>
      </c>
      <c r="C608" s="25" t="s">
        <v>488</v>
      </c>
      <c r="D608" s="20" t="str">
        <f>VLOOKUP(C608,ID!$1:$1048576,4,FALSE)</f>
        <v>101691</v>
      </c>
      <c r="E608" s="20" t="str">
        <f>VLOOKUP(C608,ID!$1:$1048576,3,FALSE)</f>
        <v xml:space="preserve"> MARIA JOSE</v>
      </c>
      <c r="F608" s="20" t="str">
        <f>VLOOKUP(C608,ID!$1:$1048576,2,FALSE)</f>
        <v>ROJAS FERNANDEZ</v>
      </c>
      <c r="G608" s="2" t="str">
        <f>VLOOKUP(D608,CORREOS!$A$2:$B$570,2,FALSE)</f>
        <v>MARIAJOSE.ROJAS@ANTAYHOTELES.CL</v>
      </c>
      <c r="H608" s="24" t="str">
        <f>VLOOKUP(A608,'Informe 2025'!$A$5:$C$164,3,FALSE)</f>
        <v>Formacion cumplimiento normativo</v>
      </c>
      <c r="I608">
        <f>VLOOKUP(H608,'Informe 2025'!$C$6:$M$166,11,FALSE)</f>
        <v>3</v>
      </c>
    </row>
    <row r="609" spans="1:9" x14ac:dyDescent="0.25">
      <c r="A609" s="2">
        <v>49</v>
      </c>
      <c r="B609" t="str">
        <f>VLOOKUP(A609,'Informe 2025'!$1:$1048576,2,FALSE)</f>
        <v>JUNIO</v>
      </c>
      <c r="C609" s="25" t="s">
        <v>530</v>
      </c>
      <c r="D609" s="20" t="str">
        <f>VLOOKUP(C609,ID!$1:$1048576,4,FALSE)</f>
        <v>102695</v>
      </c>
      <c r="E609" s="20" t="str">
        <f>VLOOKUP(C609,ID!$1:$1048576,3,FALSE)</f>
        <v xml:space="preserve"> MAURICIO</v>
      </c>
      <c r="F609" s="20" t="str">
        <f>VLOOKUP(C609,ID!$1:$1048576,2,FALSE)</f>
        <v>VILDOSO GARRIDO</v>
      </c>
      <c r="G609" s="2" t="str">
        <f>VLOOKUP(D609,CORREOS!$A$2:$B$570,2,FALSE)</f>
        <v>MVILDOSO@ANTAYHOTELES.CL</v>
      </c>
      <c r="H609" s="24" t="str">
        <f>VLOOKUP(A609,'Informe 2025'!$A$5:$C$164,3,FALSE)</f>
        <v>Formacion cumplimiento normativo</v>
      </c>
      <c r="I609">
        <f>VLOOKUP(H609,'Informe 2025'!$C$6:$M$166,11,FALSE)</f>
        <v>3</v>
      </c>
    </row>
    <row r="610" spans="1:9" x14ac:dyDescent="0.25">
      <c r="A610" s="2">
        <v>49</v>
      </c>
      <c r="B610" t="str">
        <f>VLOOKUP(A610,'Informe 2025'!$1:$1048576,2,FALSE)</f>
        <v>JUNIO</v>
      </c>
      <c r="C610" s="25" t="s">
        <v>447</v>
      </c>
      <c r="D610" s="20" t="str">
        <f>VLOOKUP(C610,ID!$1:$1048576,4,FALSE)</f>
        <v>100450</v>
      </c>
      <c r="E610" s="20" t="str">
        <f>VLOOKUP(C610,ID!$1:$1048576,3,FALSE)</f>
        <v xml:space="preserve"> OSCAR ANDRES</v>
      </c>
      <c r="F610" s="20" t="str">
        <f>VLOOKUP(C610,ID!$1:$1048576,2,FALSE)</f>
        <v>OSSANDON ALCOTA</v>
      </c>
      <c r="G610" s="2" t="str">
        <f>VLOOKUP(D610,CORREOS!$A$2:$B$570,2,FALSE)</f>
        <v>OSCAR.OSSANDON@ANTAYHOTELES.CL</v>
      </c>
      <c r="H610" s="24" t="str">
        <f>VLOOKUP(A610,'Informe 2025'!$A$5:$C$164,3,FALSE)</f>
        <v>Formacion cumplimiento normativo</v>
      </c>
      <c r="I610">
        <f>VLOOKUP(H610,'Informe 2025'!$C$6:$M$166,11,FALSE)</f>
        <v>3</v>
      </c>
    </row>
    <row r="611" spans="1:9" x14ac:dyDescent="0.25">
      <c r="A611" s="2">
        <v>50</v>
      </c>
      <c r="B611" t="str">
        <f>VLOOKUP(A611,'Informe 2025'!$1:$1048576,2,FALSE)</f>
        <v>JUNIO</v>
      </c>
      <c r="C611" s="25" t="s">
        <v>383</v>
      </c>
      <c r="D611" s="20" t="str">
        <f>VLOOKUP(C611,ID!$1:$1048576,4,FALSE)</f>
        <v>101680</v>
      </c>
      <c r="E611" s="20" t="str">
        <f>VLOOKUP(C611,ID!$1:$1048576,3,FALSE)</f>
        <v xml:space="preserve"> LEONEL ALEXIS</v>
      </c>
      <c r="F611" s="20" t="str">
        <f>VLOOKUP(C611,ID!$1:$1048576,2,FALSE)</f>
        <v>HERRERA HINOJOSA</v>
      </c>
      <c r="G611" s="2" t="str">
        <f>VLOOKUP(D611,CORREOS!$A$2:$B$570,2,FALSE)</f>
        <v>LEONELALEXIS.HERRERA@CL.LUCKIA.COM</v>
      </c>
      <c r="H611" s="24" t="str">
        <f>VLOOKUP(A611,'Informe 2025'!$A$5:$C$164,3,FALSE)</f>
        <v>Formacion Slot</v>
      </c>
      <c r="I611">
        <f>VLOOKUP(H611,'Informe 2025'!$C$6:$M$166,11,FALSE)</f>
        <v>3</v>
      </c>
    </row>
    <row r="612" spans="1:9" x14ac:dyDescent="0.25">
      <c r="A612" s="2">
        <v>50</v>
      </c>
      <c r="B612" t="str">
        <f>VLOOKUP(A612,'Informe 2025'!$1:$1048576,2,FALSE)</f>
        <v>JUNIO</v>
      </c>
      <c r="C612" s="25" t="s">
        <v>532</v>
      </c>
      <c r="D612" s="20" t="str">
        <f>VLOOKUP(C612,ID!$1:$1048576,4,FALSE)</f>
        <v>101672</v>
      </c>
      <c r="E612" s="20" t="str">
        <f>VLOOKUP(C612,ID!$1:$1048576,3,FALSE)</f>
        <v xml:space="preserve"> CAMILA NICOLE</v>
      </c>
      <c r="F612" s="20" t="str">
        <f>VLOOKUP(C612,ID!$1:$1048576,2,FALSE)</f>
        <v>YAVAR BRICEÑO</v>
      </c>
      <c r="G612" s="2" t="str">
        <f>VLOOKUP(D612,CORREOS!$A$2:$B$570,2,FALSE)</f>
        <v>CAMILANICOLE.YAVAR@CL.LUCKIA.COM</v>
      </c>
      <c r="H612" s="24" t="str">
        <f>VLOOKUP(A612,'Informe 2025'!$A$5:$C$164,3,FALSE)</f>
        <v>Formacion Slot</v>
      </c>
      <c r="I612">
        <f>VLOOKUP(H612,'Informe 2025'!$C$6:$M$166,11,FALSE)</f>
        <v>3</v>
      </c>
    </row>
    <row r="613" spans="1:9" x14ac:dyDescent="0.25">
      <c r="A613" s="2">
        <v>50</v>
      </c>
      <c r="B613" t="str">
        <f>VLOOKUP(A613,'Informe 2025'!$1:$1048576,2,FALSE)</f>
        <v>JUNIO</v>
      </c>
      <c r="C613" s="25" t="s">
        <v>497</v>
      </c>
      <c r="D613" s="20" t="str">
        <f>VLOOKUP(C613,ID!$1:$1048576,4,FALSE)</f>
        <v>101379</v>
      </c>
      <c r="E613" s="20" t="str">
        <f>VLOOKUP(C613,ID!$1:$1048576,3,FALSE)</f>
        <v xml:space="preserve"> FABRIZZIO ANIBAL DUVAN</v>
      </c>
      <c r="F613" s="20" t="str">
        <f>VLOOKUP(C613,ID!$1:$1048576,2,FALSE)</f>
        <v>SALDAÑO CHAMORRO</v>
      </c>
      <c r="G613" s="2" t="str">
        <f>VLOOKUP(D613,CORREOS!$A$2:$B$570,2,FALSE)</f>
        <v>FABRIZZIOANIBALDUVAN.SALDANO@CL.LUCKIA.COM</v>
      </c>
      <c r="H613" s="24" t="str">
        <f>VLOOKUP(A613,'Informe 2025'!$A$5:$C$164,3,FALSE)</f>
        <v>Formacion Slot</v>
      </c>
      <c r="I613">
        <f>VLOOKUP(H613,'Informe 2025'!$C$6:$M$166,11,FALSE)</f>
        <v>3</v>
      </c>
    </row>
    <row r="614" spans="1:9" x14ac:dyDescent="0.25">
      <c r="A614" s="2">
        <v>50</v>
      </c>
      <c r="B614" t="str">
        <f>VLOOKUP(A614,'Informe 2025'!$1:$1048576,2,FALSE)</f>
        <v>JUNIO</v>
      </c>
      <c r="C614" s="25" t="s">
        <v>1929</v>
      </c>
      <c r="D614" s="20" t="str">
        <f>VLOOKUP(C614,ID!$1:$1048576,4,FALSE)</f>
        <v>102674</v>
      </c>
      <c r="E614" s="20" t="str">
        <f>VLOOKUP(C614,ID!$1:$1048576,3,FALSE)</f>
        <v xml:space="preserve"> BENJAMIN</v>
      </c>
      <c r="F614" s="20" t="str">
        <f>VLOOKUP(C614,ID!$1:$1048576,2,FALSE)</f>
        <v>BARILE MEDINA</v>
      </c>
      <c r="G614" s="2" t="str">
        <f>VLOOKUP(D614,CORREOS!$A$2:$B$570,2,FALSE)</f>
        <v>BBARILE@CL.LUCKIA.COM</v>
      </c>
      <c r="H614" s="24" t="str">
        <f>VLOOKUP(A614,'Informe 2025'!$A$5:$C$164,3,FALSE)</f>
        <v>Formacion Slot</v>
      </c>
      <c r="I614">
        <f>VLOOKUP(H614,'Informe 2025'!$C$6:$M$166,11,FALSE)</f>
        <v>3</v>
      </c>
    </row>
    <row r="615" spans="1:9" x14ac:dyDescent="0.25">
      <c r="A615" s="2">
        <v>50</v>
      </c>
      <c r="B615" t="str">
        <f>VLOOKUP(A615,'Informe 2025'!$1:$1048576,2,FALSE)</f>
        <v>JUNIO</v>
      </c>
      <c r="C615" s="25" t="s">
        <v>239</v>
      </c>
      <c r="D615" s="20" t="str">
        <f>VLOOKUP(C615,ID!$1:$1048576,4,FALSE)</f>
        <v>103053</v>
      </c>
      <c r="E615" s="20" t="str">
        <f>VLOOKUP(C615,ID!$1:$1048576,3,FALSE)</f>
        <v xml:space="preserve"> VALENTINA</v>
      </c>
      <c r="F615" s="20" t="str">
        <f>VLOOKUP(C615,ID!$1:$1048576,2,FALSE)</f>
        <v>AGUILAR FERNANDEZ</v>
      </c>
      <c r="G615" s="2" t="str">
        <f>VLOOKUP(D615,CORREOS!$A$2:$B$570,2,FALSE)</f>
        <v>VAFERNANDEZ@CL.LUCKIA.COM</v>
      </c>
      <c r="H615" s="24" t="str">
        <f>VLOOKUP(A615,'Informe 2025'!$A$5:$C$164,3,FALSE)</f>
        <v>Formacion Slot</v>
      </c>
      <c r="I615">
        <f>VLOOKUP(H615,'Informe 2025'!$C$6:$M$166,11,FALSE)</f>
        <v>3</v>
      </c>
    </row>
    <row r="616" spans="1:9" x14ac:dyDescent="0.25">
      <c r="A616" s="2">
        <v>50</v>
      </c>
      <c r="B616" t="str">
        <f>VLOOKUP(A616,'Informe 2025'!$1:$1048576,2,FALSE)</f>
        <v>JUNIO</v>
      </c>
      <c r="C616" s="25" t="s">
        <v>534</v>
      </c>
      <c r="D616" s="20" t="str">
        <f>VLOOKUP(C616,ID!$1:$1048576,4,FALSE)</f>
        <v>102292</v>
      </c>
      <c r="E616" s="20" t="str">
        <f>VLOOKUP(C616,ID!$1:$1048576,3,FALSE)</f>
        <v xml:space="preserve"> ESKARLETT YUBINZA</v>
      </c>
      <c r="F616" s="20" t="str">
        <f>VLOOKUP(C616,ID!$1:$1048576,2,FALSE)</f>
        <v>ZULETA COLQUE</v>
      </c>
      <c r="G616" s="2" t="str">
        <f>VLOOKUP(D616,CORREOS!$A$2:$B$570,2,FALSE)</f>
        <v>EZCOLQUE@CL.LUCKIA.COM</v>
      </c>
      <c r="H616" s="24" t="str">
        <f>VLOOKUP(A616,'Informe 2025'!$A$5:$C$164,3,FALSE)</f>
        <v>Formacion Slot</v>
      </c>
      <c r="I616">
        <f>VLOOKUP(H616,'Informe 2025'!$C$6:$M$166,11,FALSE)</f>
        <v>3</v>
      </c>
    </row>
    <row r="617" spans="1:9" x14ac:dyDescent="0.25">
      <c r="A617" s="2">
        <v>50</v>
      </c>
      <c r="B617" t="str">
        <f>VLOOKUP(A617,'Informe 2025'!$1:$1048576,2,FALSE)</f>
        <v>JUNIO</v>
      </c>
      <c r="C617" s="25" t="s">
        <v>479</v>
      </c>
      <c r="D617" s="20" t="str">
        <f>VLOOKUP(C617,ID!$1:$1048576,4,FALSE)</f>
        <v>102803</v>
      </c>
      <c r="E617" s="20" t="str">
        <f>VLOOKUP(C617,ID!$1:$1048576,3,FALSE)</f>
        <v xml:space="preserve"> CATALINA JYO</v>
      </c>
      <c r="F617" s="20" t="str">
        <f>VLOOKUP(C617,ID!$1:$1048576,2,FALSE)</f>
        <v>RIQUELME LOPEZ</v>
      </c>
      <c r="G617" s="2" t="str">
        <f>VLOOKUP(D617,CORREOS!$A$2:$B$570,2,FALSE)</f>
        <v>CRIQUELMEL@CL.LUCKIA.COM</v>
      </c>
      <c r="H617" s="24" t="str">
        <f>VLOOKUP(A617,'Informe 2025'!$A$5:$C$164,3,FALSE)</f>
        <v>Formacion Slot</v>
      </c>
      <c r="I617">
        <f>VLOOKUP(H617,'Informe 2025'!$C$6:$M$166,11,FALSE)</f>
        <v>3</v>
      </c>
    </row>
    <row r="618" spans="1:9" x14ac:dyDescent="0.25">
      <c r="A618" s="2">
        <v>50</v>
      </c>
      <c r="B618" t="str">
        <f>VLOOKUP(A618,'Informe 2025'!$1:$1048576,2,FALSE)</f>
        <v>JUNIO</v>
      </c>
      <c r="C618" s="25" t="s">
        <v>362</v>
      </c>
      <c r="D618" s="20" t="str">
        <f>VLOOKUP(C618,ID!$1:$1048576,4,FALSE)</f>
        <v>103348</v>
      </c>
      <c r="E618" s="20" t="str">
        <f>VLOOKUP(C618,ID!$1:$1048576,3,FALSE)</f>
        <v xml:space="preserve"> FRANCISCO</v>
      </c>
      <c r="F618" s="20" t="str">
        <f>VLOOKUP(C618,ID!$1:$1048576,2,FALSE)</f>
        <v>GOMEZ CERQUEIRO</v>
      </c>
      <c r="G618" s="2" t="str">
        <f>VLOOKUP(D618,CORREOS!$A$2:$B$570,2,FALSE)</f>
        <v>FGCERQUEIRO@LUCKIA.COM</v>
      </c>
      <c r="H618" s="24" t="str">
        <f>VLOOKUP(A618,'Informe 2025'!$A$5:$C$164,3,FALSE)</f>
        <v>Formacion Slot</v>
      </c>
      <c r="I618">
        <f>VLOOKUP(H618,'Informe 2025'!$C$6:$M$166,11,FALSE)</f>
        <v>3</v>
      </c>
    </row>
    <row r="619" spans="1:9" x14ac:dyDescent="0.25">
      <c r="A619" s="2">
        <v>50</v>
      </c>
      <c r="B619" t="str">
        <f>VLOOKUP(A619,'Informe 2025'!$1:$1048576,2,FALSE)</f>
        <v>JUNIO</v>
      </c>
      <c r="C619" s="25" t="s">
        <v>452</v>
      </c>
      <c r="D619" s="20" t="str">
        <f>VLOOKUP(C619,ID!$1:$1048576,4,FALSE)</f>
        <v>101886</v>
      </c>
      <c r="E619" s="20" t="str">
        <f>VLOOKUP(C619,ID!$1:$1048576,3,FALSE)</f>
        <v xml:space="preserve"> FERNANDO IVAN</v>
      </c>
      <c r="F619" s="20" t="str">
        <f>VLOOKUP(C619,ID!$1:$1048576,2,FALSE)</f>
        <v>PALMA QUIMPER</v>
      </c>
      <c r="G619" s="2" t="str">
        <f>VLOOKUP(D619,CORREOS!$A$2:$B$570,2,FALSE)</f>
        <v>FPALMA@CL.LUCKIA.COM</v>
      </c>
      <c r="H619" s="24" t="str">
        <f>VLOOKUP(A619,'Informe 2025'!$A$5:$C$164,3,FALSE)</f>
        <v>Formacion Slot</v>
      </c>
      <c r="I619">
        <f>VLOOKUP(H619,'Informe 2025'!$C$6:$M$166,11,FALSE)</f>
        <v>3</v>
      </c>
    </row>
    <row r="620" spans="1:9" x14ac:dyDescent="0.25">
      <c r="A620" s="2">
        <v>50</v>
      </c>
      <c r="B620" t="str">
        <f>VLOOKUP(A620,'Informe 2025'!$1:$1048576,2,FALSE)</f>
        <v>JUNIO</v>
      </c>
      <c r="C620" s="25" t="s">
        <v>1817</v>
      </c>
      <c r="D620" s="20" t="str">
        <f>VLOOKUP(C620,ID!$1:$1048576,4,FALSE)</f>
        <v>103853</v>
      </c>
      <c r="E620" s="20" t="str">
        <f>VLOOKUP(C620,ID!$1:$1048576,3,FALSE)</f>
        <v xml:space="preserve"> JUAN LUIS</v>
      </c>
      <c r="F620" s="20" t="str">
        <f>VLOOKUP(C620,ID!$1:$1048576,2,FALSE)</f>
        <v>CASTILLO NAVARRETE</v>
      </c>
      <c r="G620" s="2" t="str">
        <f>VLOOKUP(D620,CORREOS!$A$2:$B$570,2,FALSE)</f>
        <v>jcnavarrete@cl.luckia.com</v>
      </c>
      <c r="H620" s="24" t="str">
        <f>VLOOKUP(A620,'Informe 2025'!$A$5:$C$164,3,FALSE)</f>
        <v>Formacion Slot</v>
      </c>
      <c r="I620">
        <f>VLOOKUP(H620,'Informe 2025'!$C$6:$M$166,11,FALSE)</f>
        <v>3</v>
      </c>
    </row>
    <row r="621" spans="1:9" x14ac:dyDescent="0.25">
      <c r="A621" s="2">
        <v>50</v>
      </c>
      <c r="B621" t="str">
        <f>VLOOKUP(A621,'Informe 2025'!$1:$1048576,2,FALSE)</f>
        <v>JUNIO</v>
      </c>
      <c r="C621" s="25" t="s">
        <v>505</v>
      </c>
      <c r="D621" s="20" t="str">
        <f>VLOOKUP(C621,ID!$1:$1048576,4,FALSE)</f>
        <v>101331</v>
      </c>
      <c r="E621" s="20" t="str">
        <f>VLOOKUP(C621,ID!$1:$1048576,3,FALSE)</f>
        <v xml:space="preserve"> CHRISTIAN OLIVER</v>
      </c>
      <c r="F621" s="20" t="str">
        <f>VLOOKUP(C621,ID!$1:$1048576,2,FALSE)</f>
        <v>SILVA CAMPOS</v>
      </c>
      <c r="G621" s="2" t="str">
        <f>VLOOKUP(D621,CORREOS!$A$2:$B$570,2,FALSE)</f>
        <v>CHRISTIANOLIVER.SILVA@CL.LUCKIA.COM</v>
      </c>
      <c r="H621" s="24" t="str">
        <f>VLOOKUP(A621,'Informe 2025'!$A$5:$C$164,3,FALSE)</f>
        <v>Formacion Slot</v>
      </c>
      <c r="I621">
        <f>VLOOKUP(H621,'Informe 2025'!$C$6:$M$166,11,FALSE)</f>
        <v>3</v>
      </c>
    </row>
    <row r="622" spans="1:9" x14ac:dyDescent="0.25">
      <c r="A622" s="2">
        <v>50</v>
      </c>
      <c r="B622" t="str">
        <f>VLOOKUP(A622,'Informe 2025'!$1:$1048576,2,FALSE)</f>
        <v>JUNIO</v>
      </c>
      <c r="C622" s="25" t="s">
        <v>496</v>
      </c>
      <c r="D622" s="20" t="str">
        <f>VLOOKUP(C622,ID!$1:$1048576,4,FALSE)</f>
        <v>101326</v>
      </c>
      <c r="E622" s="20" t="str">
        <f>VLOOKUP(C622,ID!$1:$1048576,3,FALSE)</f>
        <v xml:space="preserve"> CHRISTIAN EDUARDO</v>
      </c>
      <c r="F622" s="20" t="str">
        <f>VLOOKUP(C622,ID!$1:$1048576,2,FALSE)</f>
        <v>SALAZAR MALDONADO</v>
      </c>
      <c r="G622" s="2" t="str">
        <f>VLOOKUP(D622,CORREOS!$A$2:$B$570,2,FALSE)</f>
        <v>CHRISTIAN.SALAZAR@CL.LUCKIA.COM</v>
      </c>
      <c r="H622" s="24" t="str">
        <f>VLOOKUP(A622,'Informe 2025'!$A$5:$C$164,3,FALSE)</f>
        <v>Formacion Slot</v>
      </c>
      <c r="I622">
        <f>VLOOKUP(H622,'Informe 2025'!$C$6:$M$166,11,FALSE)</f>
        <v>3</v>
      </c>
    </row>
    <row r="623" spans="1:9" x14ac:dyDescent="0.25">
      <c r="A623" s="2">
        <v>50</v>
      </c>
      <c r="B623" t="str">
        <f>VLOOKUP(A623,'Informe 2025'!$1:$1048576,2,FALSE)</f>
        <v>JUNIO</v>
      </c>
      <c r="C623" s="25" t="s">
        <v>339</v>
      </c>
      <c r="D623" s="20" t="str">
        <f>VLOOKUP(C623,ID!$1:$1048576,4,FALSE)</f>
        <v>101938</v>
      </c>
      <c r="E623" s="20" t="str">
        <f>VLOOKUP(C623,ID!$1:$1048576,3,FALSE)</f>
        <v xml:space="preserve"> LORETO ANDREA</v>
      </c>
      <c r="F623" s="20" t="str">
        <f>VLOOKUP(C623,ID!$1:$1048576,2,FALSE)</f>
        <v>FERNANDEZ GONZALEZ</v>
      </c>
      <c r="G623" s="2" t="str">
        <f>VLOOKUP(D623,CORREOS!$A$2:$B$570,2,FALSE)</f>
        <v>LFGONZALEZ@CL.LUCKIA.COM</v>
      </c>
      <c r="H623" s="24" t="str">
        <f>VLOOKUP(A623,'Informe 2025'!$A$5:$C$164,3,FALSE)</f>
        <v>Formacion Slot</v>
      </c>
      <c r="I623">
        <f>VLOOKUP(H623,'Informe 2025'!$C$6:$M$166,11,FALSE)</f>
        <v>3</v>
      </c>
    </row>
    <row r="624" spans="1:9" x14ac:dyDescent="0.25">
      <c r="A624" s="2">
        <v>50</v>
      </c>
      <c r="B624" t="str">
        <f>VLOOKUP(A624,'Informe 2025'!$1:$1048576,2,FALSE)</f>
        <v>JUNIO</v>
      </c>
      <c r="C624" s="25" t="s">
        <v>1930</v>
      </c>
      <c r="D624" s="20" t="str">
        <f>VLOOKUP(C624,ID!$1:$1048576,4,FALSE)</f>
        <v>102869</v>
      </c>
      <c r="E624" s="20" t="str">
        <f>VLOOKUP(C624,ID!$1:$1048576,3,FALSE)</f>
        <v xml:space="preserve"> ROCIO BELEN</v>
      </c>
      <c r="F624" s="20" t="str">
        <f>VLOOKUP(C624,ID!$1:$1048576,2,FALSE)</f>
        <v>QUIROZ ROJAS</v>
      </c>
      <c r="G624" s="2" t="str">
        <f>VLOOKUP(D624,CORREOS!$A$2:$B$570,2,FALSE)</f>
        <v>RQUIROZ@CL.LUCKIA.COM</v>
      </c>
      <c r="H624" s="24" t="str">
        <f>VLOOKUP(A624,'Informe 2025'!$A$5:$C$164,3,FALSE)</f>
        <v>Formacion Slot</v>
      </c>
      <c r="I624">
        <f>VLOOKUP(H624,'Informe 2025'!$C$6:$M$166,11,FALSE)</f>
        <v>3</v>
      </c>
    </row>
    <row r="625" spans="1:9" x14ac:dyDescent="0.25">
      <c r="A625" s="2">
        <v>51</v>
      </c>
      <c r="B625" t="str">
        <f>VLOOKUP(A625,'Informe 2025'!$1:$1048576,2,FALSE)</f>
        <v>JULIO</v>
      </c>
      <c r="C625" t="s">
        <v>347</v>
      </c>
      <c r="D625" s="20" t="str">
        <f>VLOOKUP(C625,ID!$1:$1048576,4,FALSE)</f>
        <v>103676</v>
      </c>
      <c r="E625" s="20" t="str">
        <f>VLOOKUP(C625,ID!$1:$1048576,3,FALSE)</f>
        <v xml:space="preserve"> PATRICIA ANDREA</v>
      </c>
      <c r="F625" s="20" t="str">
        <f>VLOOKUP(C625,ID!$1:$1048576,2,FALSE)</f>
        <v>FLORES VELASQUEZ</v>
      </c>
      <c r="G625" s="2" t="str">
        <f>VLOOKUP(D625,CORREOS!$A$2:$B$570,2,FALSE)</f>
        <v>PFVELASQUEZ@CL.LUCKIA.COM</v>
      </c>
      <c r="H625" s="24" t="str">
        <f>VLOOKUP(A625,'Informe 2025'!$A$5:$C$164,3,FALSE)</f>
        <v>Ley Karin</v>
      </c>
      <c r="I625">
        <f>VLOOKUP(H625,'Informe 2025'!$C$6:$M$166,11,FALSE)</f>
        <v>2</v>
      </c>
    </row>
    <row r="626" spans="1:9" x14ac:dyDescent="0.25">
      <c r="A626" s="2">
        <v>51</v>
      </c>
      <c r="B626" t="str">
        <f>VLOOKUP(A626,'Informe 2025'!$1:$1048576,2,FALSE)</f>
        <v>JULIO</v>
      </c>
      <c r="C626" t="s">
        <v>465</v>
      </c>
      <c r="D626" s="20" t="str">
        <f>VLOOKUP(C626,ID!$1:$1048576,4,FALSE)</f>
        <v>103311</v>
      </c>
      <c r="E626" s="20" t="str">
        <f>VLOOKUP(C626,ID!$1:$1048576,3,FALSE)</f>
        <v xml:space="preserve"> JOHNNY ALEXANDER</v>
      </c>
      <c r="F626" s="20" t="str">
        <f>VLOOKUP(C626,ID!$1:$1048576,2,FALSE)</f>
        <v>PIÑONES RODENAS</v>
      </c>
      <c r="G626" s="2" t="str">
        <f>VLOOKUP(D626,CORREOS!$A$2:$B$570,2,FALSE)</f>
        <v>JPINONES@CL.LUCKIA.COM</v>
      </c>
      <c r="H626" s="24" t="str">
        <f>VLOOKUP(A626,'Informe 2025'!$A$5:$C$164,3,FALSE)</f>
        <v>Ley Karin</v>
      </c>
      <c r="I626">
        <f>VLOOKUP(H626,'Informe 2025'!$C$6:$M$166,11,FALSE)</f>
        <v>2</v>
      </c>
    </row>
    <row r="627" spans="1:9" x14ac:dyDescent="0.25">
      <c r="A627" s="2">
        <v>51</v>
      </c>
      <c r="B627" t="str">
        <f>VLOOKUP(A627,'Informe 2025'!$1:$1048576,2,FALSE)</f>
        <v>JULIO</v>
      </c>
      <c r="C627" t="s">
        <v>375</v>
      </c>
      <c r="D627" s="20" t="str">
        <f>VLOOKUP(C627,ID!$1:$1048576,4,FALSE)</f>
        <v>102959</v>
      </c>
      <c r="E627" s="20" t="str">
        <f>VLOOKUP(C627,ID!$1:$1048576,3,FALSE)</f>
        <v xml:space="preserve"> MACKARENA FRANCISCA</v>
      </c>
      <c r="F627" s="20" t="str">
        <f>VLOOKUP(C627,ID!$1:$1048576,2,FALSE)</f>
        <v>GUERRA SEPULVEDA</v>
      </c>
      <c r="G627" s="2" t="str">
        <f>VLOOKUP(D627,CORREOS!$A$2:$B$570,2,FALSE)</f>
        <v>MGSEPULVEDA@CL.LUCKIA.COM</v>
      </c>
      <c r="H627" s="24" t="str">
        <f>VLOOKUP(A627,'Informe 2025'!$A$5:$C$164,3,FALSE)</f>
        <v>Ley Karin</v>
      </c>
      <c r="I627">
        <f>VLOOKUP(H627,'Informe 2025'!$C$6:$M$166,11,FALSE)</f>
        <v>2</v>
      </c>
    </row>
    <row r="628" spans="1:9" ht="15.75" x14ac:dyDescent="0.25">
      <c r="A628" s="2">
        <v>51</v>
      </c>
      <c r="B628" t="str">
        <f>VLOOKUP(A628,'Informe 2025'!$1:$1048576,2,FALSE)</f>
        <v>JULIO</v>
      </c>
      <c r="C628" s="31" t="s">
        <v>498</v>
      </c>
      <c r="D628" s="20" t="str">
        <f>VLOOKUP(C628,ID!$1:$1048576,4,FALSE)</f>
        <v>101825</v>
      </c>
      <c r="E628" s="20" t="str">
        <f>VLOOKUP(C628,ID!$1:$1048576,3,FALSE)</f>
        <v xml:space="preserve"> GISSELA ANDREA</v>
      </c>
      <c r="F628" s="20" t="str">
        <f>VLOOKUP(C628,ID!$1:$1048576,2,FALSE)</f>
        <v>SANCHEZ QUISPE</v>
      </c>
      <c r="G628" s="2" t="str">
        <f>VLOOKUP(D628,CORREOS!$A$2:$B$570,2,FALSE)</f>
        <v>GSQUISPE@CL.LUCKIA.COM</v>
      </c>
      <c r="H628" s="24" t="str">
        <f>VLOOKUP(A628,'Informe 2025'!$A$5:$C$164,3,FALSE)</f>
        <v>Ley Karin</v>
      </c>
      <c r="I628">
        <f>VLOOKUP(H628,'Informe 2025'!$C$6:$M$166,11,FALSE)</f>
        <v>2</v>
      </c>
    </row>
    <row r="629" spans="1:9" ht="15.75" x14ac:dyDescent="0.25">
      <c r="A629" s="2">
        <v>51</v>
      </c>
      <c r="B629" t="str">
        <f>VLOOKUP(A629,'Informe 2025'!$1:$1048576,2,FALSE)</f>
        <v>JULIO</v>
      </c>
      <c r="C629" s="31" t="s">
        <v>481</v>
      </c>
      <c r="D629" s="20" t="str">
        <f>VLOOKUP(C629,ID!$1:$1048576,4,FALSE)</f>
        <v>101689</v>
      </c>
      <c r="E629" s="20" t="str">
        <f>VLOOKUP(C629,ID!$1:$1048576,3,FALSE)</f>
        <v xml:space="preserve"> LUIS ESTEBAN</v>
      </c>
      <c r="F629" s="20" t="str">
        <f>VLOOKUP(C629,ID!$1:$1048576,2,FALSE)</f>
        <v>RIVERA ALTAMIRANO</v>
      </c>
      <c r="G629" s="2" t="str">
        <f>VLOOKUP(D629,CORREOS!$A$2:$B$570,2,FALSE)</f>
        <v>LUISESTEBAN.RIVERA@CL.LUCKIA.COM</v>
      </c>
      <c r="H629" s="24" t="str">
        <f>VLOOKUP(A629,'Informe 2025'!$A$5:$C$164,3,FALSE)</f>
        <v>Ley Karin</v>
      </c>
      <c r="I629">
        <f>VLOOKUP(H629,'Informe 2025'!$C$6:$M$166,11,FALSE)</f>
        <v>2</v>
      </c>
    </row>
    <row r="630" spans="1:9" ht="15.75" x14ac:dyDescent="0.25">
      <c r="A630" s="2">
        <v>51</v>
      </c>
      <c r="B630" t="str">
        <f>VLOOKUP(A630,'Informe 2025'!$1:$1048576,2,FALSE)</f>
        <v>JULIO</v>
      </c>
      <c r="C630" s="31" t="s">
        <v>311</v>
      </c>
      <c r="D630" s="20" t="str">
        <f>VLOOKUP(C630,ID!$1:$1048576,4,FALSE)</f>
        <v>102758</v>
      </c>
      <c r="E630" s="20" t="str">
        <f>VLOOKUP(C630,ID!$1:$1048576,3,FALSE)</f>
        <v xml:space="preserve"> CONNY ALEXANDRA</v>
      </c>
      <c r="F630" s="20" t="str">
        <f>VLOOKUP(C630,ID!$1:$1048576,2,FALSE)</f>
        <v>CHOQUE VISCARRA</v>
      </c>
      <c r="G630" s="2" t="str">
        <f>VLOOKUP(D630,CORREOS!$A$2:$B$570,2,FALSE)</f>
        <v>CCVISCARRA@CL.LUCKIA.COM</v>
      </c>
      <c r="H630" s="24" t="str">
        <f>VLOOKUP(A630,'Informe 2025'!$A$5:$C$164,3,FALSE)</f>
        <v>Ley Karin</v>
      </c>
      <c r="I630">
        <f>VLOOKUP(H630,'Informe 2025'!$C$6:$M$166,11,FALSE)</f>
        <v>2</v>
      </c>
    </row>
    <row r="631" spans="1:9" ht="15.75" x14ac:dyDescent="0.25">
      <c r="A631" s="2">
        <v>51</v>
      </c>
      <c r="B631" t="str">
        <f>VLOOKUP(A631,'Informe 2025'!$1:$1048576,2,FALSE)</f>
        <v>JULIO</v>
      </c>
      <c r="C631" s="31" t="s">
        <v>506</v>
      </c>
      <c r="D631" s="20" t="str">
        <f>VLOOKUP(C631,ID!$1:$1048576,4,FALSE)</f>
        <v>101643</v>
      </c>
      <c r="E631" s="20" t="str">
        <f>VLOOKUP(C631,ID!$1:$1048576,3,FALSE)</f>
        <v xml:space="preserve"> ANDREA DEL CARMEN</v>
      </c>
      <c r="F631" s="20" t="str">
        <f>VLOOKUP(C631,ID!$1:$1048576,2,FALSE)</f>
        <v>SILVA ROCHA</v>
      </c>
      <c r="G631" s="2" t="str">
        <f>VLOOKUP(D631,CORREOS!$A$2:$B$570,2,FALSE)</f>
        <v>ANDREADELCARMEN.SILVA@CL.LUCKIA.COM</v>
      </c>
      <c r="H631" s="24" t="str">
        <f>VLOOKUP(A631,'Informe 2025'!$A$5:$C$164,3,FALSE)</f>
        <v>Ley Karin</v>
      </c>
      <c r="I631">
        <f>VLOOKUP(H631,'Informe 2025'!$C$6:$M$166,11,FALSE)</f>
        <v>2</v>
      </c>
    </row>
    <row r="632" spans="1:9" ht="15.75" x14ac:dyDescent="0.25">
      <c r="A632" s="2">
        <v>51</v>
      </c>
      <c r="B632" t="str">
        <f>VLOOKUP(A632,'Informe 2025'!$1:$1048576,2,FALSE)</f>
        <v>JULIO</v>
      </c>
      <c r="C632" s="31" t="s">
        <v>1638</v>
      </c>
      <c r="D632" s="20" t="str">
        <f>VLOOKUP(C632,ID!$1:$1048576,4,FALSE)</f>
        <v>103810</v>
      </c>
      <c r="E632" s="20" t="str">
        <f>VLOOKUP(C632,ID!$1:$1048576,3,FALSE)</f>
        <v xml:space="preserve"> ARANZA ALEJANDRA</v>
      </c>
      <c r="F632" s="20" t="str">
        <f>VLOOKUP(C632,ID!$1:$1048576,2,FALSE)</f>
        <v>CASTILLO VARAS</v>
      </c>
      <c r="G632" s="2" t="str">
        <f>VLOOKUP(D632,CORREOS!$A$2:$B$570,2,FALSE)</f>
        <v xml:space="preserve"> ARANZA ALEJANDRA</v>
      </c>
      <c r="H632" s="24" t="str">
        <f>VLOOKUP(A632,'Informe 2025'!$A$5:$C$164,3,FALSE)</f>
        <v>Ley Karin</v>
      </c>
      <c r="I632">
        <f>VLOOKUP(H632,'Informe 2025'!$C$6:$M$166,11,FALSE)</f>
        <v>2</v>
      </c>
    </row>
    <row r="633" spans="1:9" ht="15.75" x14ac:dyDescent="0.25">
      <c r="A633" s="2">
        <v>51</v>
      </c>
      <c r="B633" t="str">
        <f>VLOOKUP(A633,'Informe 2025'!$1:$1048576,2,FALSE)</f>
        <v>JULIO</v>
      </c>
      <c r="C633" s="31" t="s">
        <v>489</v>
      </c>
      <c r="D633" s="20" t="str">
        <f>VLOOKUP(C633,ID!$1:$1048576,4,FALSE)</f>
        <v>102827</v>
      </c>
      <c r="E633" s="20" t="str">
        <f>VLOOKUP(C633,ID!$1:$1048576,3,FALSE)</f>
        <v xml:space="preserve"> NICOLAS IGNACIO</v>
      </c>
      <c r="F633" s="20" t="str">
        <f>VLOOKUP(C633,ID!$1:$1048576,2,FALSE)</f>
        <v>ROJAS HENRIQUEZ</v>
      </c>
      <c r="G633" s="2" t="str">
        <f>VLOOKUP(D633,CORREOS!$A$2:$B$570,2,FALSE)</f>
        <v>NRHENRIQUEZ@CL.LUCKIA.COM</v>
      </c>
      <c r="H633" s="24" t="str">
        <f>VLOOKUP(A633,'Informe 2025'!$A$5:$C$164,3,FALSE)</f>
        <v>Ley Karin</v>
      </c>
      <c r="I633">
        <f>VLOOKUP(H633,'Informe 2025'!$C$6:$M$166,11,FALSE)</f>
        <v>2</v>
      </c>
    </row>
    <row r="634" spans="1:9" ht="15.75" x14ac:dyDescent="0.25">
      <c r="A634" s="2">
        <v>51</v>
      </c>
      <c r="B634" t="str">
        <f>VLOOKUP(A634,'Informe 2025'!$1:$1048576,2,FALSE)</f>
        <v>JULIO</v>
      </c>
      <c r="C634" s="31" t="s">
        <v>268</v>
      </c>
      <c r="D634" s="20" t="str">
        <f>VLOOKUP(C634,ID!$1:$1048576,4,FALSE)</f>
        <v>101397</v>
      </c>
      <c r="E634" s="20" t="str">
        <f>VLOOKUP(C634,ID!$1:$1048576,3,FALSE)</f>
        <v xml:space="preserve"> PAULA GISELLE</v>
      </c>
      <c r="F634" s="20" t="str">
        <f>VLOOKUP(C634,ID!$1:$1048576,2,FALSE)</f>
        <v>ARELLANO VALENCIA</v>
      </c>
      <c r="G634" s="2" t="str">
        <f>VLOOKUP(D634,CORREOS!$A$2:$B$570,2,FALSE)</f>
        <v>PAULAGISELLE.ARELLANO@CL.LUCKIA.COM</v>
      </c>
      <c r="H634" s="24" t="str">
        <f>VLOOKUP(A634,'Informe 2025'!$A$5:$C$164,3,FALSE)</f>
        <v>Ley Karin</v>
      </c>
      <c r="I634">
        <f>VLOOKUP(H634,'Informe 2025'!$C$6:$M$166,11,FALSE)</f>
        <v>2</v>
      </c>
    </row>
    <row r="635" spans="1:9" ht="15.75" x14ac:dyDescent="0.25">
      <c r="A635" s="2">
        <v>51</v>
      </c>
      <c r="B635" t="str">
        <f>VLOOKUP(A635,'Informe 2025'!$1:$1048576,2,FALSE)</f>
        <v>JULIO</v>
      </c>
      <c r="C635" s="31" t="s">
        <v>527</v>
      </c>
      <c r="D635" s="20" t="str">
        <f>VLOOKUP(C635,ID!$1:$1048576,4,FALSE)</f>
        <v>103766</v>
      </c>
      <c r="E635" s="20" t="str">
        <f>VLOOKUP(C635,ID!$1:$1048576,3,FALSE)</f>
        <v xml:space="preserve"> BASTIAN ADRIAN</v>
      </c>
      <c r="F635" s="20" t="str">
        <f>VLOOKUP(C635,ID!$1:$1048576,2,FALSE)</f>
        <v>VERA CALDERON</v>
      </c>
      <c r="G635" s="2" t="str">
        <f>VLOOKUP(D635,CORREOS!$A$2:$B$570,2,FALSE)</f>
        <v>BVERA@CL.LUCKIA.COM</v>
      </c>
      <c r="H635" s="24" t="str">
        <f>VLOOKUP(A635,'Informe 2025'!$A$5:$C$164,3,FALSE)</f>
        <v>Ley Karin</v>
      </c>
      <c r="I635">
        <f>VLOOKUP(H635,'Informe 2025'!$C$6:$M$166,11,FALSE)</f>
        <v>2</v>
      </c>
    </row>
    <row r="636" spans="1:9" ht="15.75" x14ac:dyDescent="0.25">
      <c r="A636" s="2">
        <v>51</v>
      </c>
      <c r="B636" t="str">
        <f>VLOOKUP(A636,'Informe 2025'!$1:$1048576,2,FALSE)</f>
        <v>JULIO</v>
      </c>
      <c r="C636" s="31" t="s">
        <v>262</v>
      </c>
      <c r="D636" s="20" t="str">
        <f>VLOOKUP(C636,ID!$1:$1048576,4,FALSE)</f>
        <v>101555</v>
      </c>
      <c r="E636" s="20" t="str">
        <f>VLOOKUP(C636,ID!$1:$1048576,3,FALSE)</f>
        <v xml:space="preserve"> VICTORIA MACARENA</v>
      </c>
      <c r="F636" s="20" t="str">
        <f>VLOOKUP(C636,ID!$1:$1048576,2,FALSE)</f>
        <v>ARANIBAR BRIONES</v>
      </c>
      <c r="G636" s="2" t="str">
        <f>VLOOKUP(D636,CORREOS!$A$2:$B$570,2,FALSE)</f>
        <v>VICTORIAMACARENA.ARANIBAR@CL.LUCKIA.COM</v>
      </c>
      <c r="H636" s="24" t="str">
        <f>VLOOKUP(A636,'Informe 2025'!$A$5:$C$164,3,FALSE)</f>
        <v>Ley Karin</v>
      </c>
      <c r="I636">
        <f>VLOOKUP(H636,'Informe 2025'!$C$6:$M$166,11,FALSE)</f>
        <v>2</v>
      </c>
    </row>
    <row r="637" spans="1:9" ht="15.75" x14ac:dyDescent="0.25">
      <c r="A637" s="2">
        <v>51</v>
      </c>
      <c r="B637" t="str">
        <f>VLOOKUP(A637,'Informe 2025'!$1:$1048576,2,FALSE)</f>
        <v>JULIO</v>
      </c>
      <c r="C637" s="31" t="s">
        <v>466</v>
      </c>
      <c r="D637" s="20" t="str">
        <f>VLOOKUP(C637,ID!$1:$1048576,4,FALSE)</f>
        <v>103677</v>
      </c>
      <c r="E637" s="20" t="str">
        <f>VLOOKUP(C637,ID!$1:$1048576,3,FALSE)</f>
        <v xml:space="preserve"> LAURA PAZ BELEN</v>
      </c>
      <c r="F637" s="20" t="str">
        <f>VLOOKUP(C637,ID!$1:$1048576,2,FALSE)</f>
        <v>PIZARRO ARAYA</v>
      </c>
      <c r="G637" s="2" t="str">
        <f>VLOOKUP(D637,CORREOS!$A$2:$B$570,2,FALSE)</f>
        <v>LPIZARRO@CL.LUCKIA.COM</v>
      </c>
      <c r="H637" s="24" t="str">
        <f>VLOOKUP(A637,'Informe 2025'!$A$5:$C$164,3,FALSE)</f>
        <v>Ley Karin</v>
      </c>
      <c r="I637">
        <f>VLOOKUP(H637,'Informe 2025'!$C$6:$M$166,11,FALSE)</f>
        <v>2</v>
      </c>
    </row>
    <row r="638" spans="1:9" ht="15.75" x14ac:dyDescent="0.25">
      <c r="A638" s="2">
        <v>51</v>
      </c>
      <c r="B638" t="str">
        <f>VLOOKUP(A638,'Informe 2025'!$1:$1048576,2,FALSE)</f>
        <v>JULIO</v>
      </c>
      <c r="C638" s="31" t="s">
        <v>1627</v>
      </c>
      <c r="D638" s="20" t="str">
        <f>VLOOKUP(C638,ID!$1:$1048576,4,FALSE)</f>
        <v>103792</v>
      </c>
      <c r="E638" s="20" t="str">
        <f>VLOOKUP(C638,ID!$1:$1048576,3,FALSE)</f>
        <v xml:space="preserve"> FERNANDA IGNACIA</v>
      </c>
      <c r="F638" s="20" t="str">
        <f>VLOOKUP(C638,ID!$1:$1048576,2,FALSE)</f>
        <v>ARAYA LORCA</v>
      </c>
      <c r="G638" s="2" t="str">
        <f>VLOOKUP(D638,CORREOS!$A$2:$B$570,2,FALSE)</f>
        <v>FALORCA@cl.luckia.com</v>
      </c>
      <c r="H638" s="24" t="str">
        <f>VLOOKUP(A638,'Informe 2025'!$A$5:$C$164,3,FALSE)</f>
        <v>Ley Karin</v>
      </c>
      <c r="I638">
        <f>VLOOKUP(H638,'Informe 2025'!$C$6:$M$166,11,FALSE)</f>
        <v>2</v>
      </c>
    </row>
    <row r="639" spans="1:9" ht="15.75" x14ac:dyDescent="0.25">
      <c r="A639" s="2">
        <v>51</v>
      </c>
      <c r="B639" t="str">
        <f>VLOOKUP(A639,'Informe 2025'!$1:$1048576,2,FALSE)</f>
        <v>JULIO</v>
      </c>
      <c r="C639" s="31" t="s">
        <v>407</v>
      </c>
      <c r="D639" s="20" t="str">
        <f>VLOOKUP(C639,ID!$1:$1048576,4,FALSE)</f>
        <v>101826</v>
      </c>
      <c r="E639" s="20" t="str">
        <f>VLOOKUP(C639,ID!$1:$1048576,3,FALSE)</f>
        <v xml:space="preserve"> NARELA ALIZON JUDYT</v>
      </c>
      <c r="F639" s="20" t="str">
        <f>VLOOKUP(C639,ID!$1:$1048576,2,FALSE)</f>
        <v>MARINO ALARO</v>
      </c>
      <c r="G639" s="2" t="str">
        <f>VLOOKUP(D639,CORREOS!$A$2:$B$570,2,FALSE)</f>
        <v>NMARINO@CL.LUCKIA.COM</v>
      </c>
      <c r="H639" s="24" t="str">
        <f>VLOOKUP(A639,'Informe 2025'!$A$5:$C$164,3,FALSE)</f>
        <v>Ley Karin</v>
      </c>
      <c r="I639">
        <f>VLOOKUP(H639,'Informe 2025'!$C$6:$M$166,11,FALSE)</f>
        <v>2</v>
      </c>
    </row>
    <row r="640" spans="1:9" ht="15.75" x14ac:dyDescent="0.25">
      <c r="A640" s="2">
        <v>51</v>
      </c>
      <c r="B640" t="str">
        <f>VLOOKUP(A640,'Informe 2025'!$1:$1048576,2,FALSE)</f>
        <v>JULIO</v>
      </c>
      <c r="C640" s="31" t="s">
        <v>281</v>
      </c>
      <c r="D640" s="20" t="str">
        <f>VLOOKUP(C640,ID!$1:$1048576,4,FALSE)</f>
        <v>102881</v>
      </c>
      <c r="E640" s="20" t="str">
        <f>VLOOKUP(C640,ID!$1:$1048576,3,FALSE)</f>
        <v xml:space="preserve"> LAURA</v>
      </c>
      <c r="F640" s="20" t="str">
        <f>VLOOKUP(C640,ID!$1:$1048576,2,FALSE)</f>
        <v>BERISTAIN HURTADO</v>
      </c>
      <c r="G640" s="2" t="str">
        <f>VLOOKUP(D640,CORREOS!$A$2:$B$570,2,FALSE)</f>
        <v>LBERISTAIN@CL.LUCKIA.COM</v>
      </c>
      <c r="H640" s="24" t="str">
        <f>VLOOKUP(A640,'Informe 2025'!$A$5:$C$164,3,FALSE)</f>
        <v>Ley Karin</v>
      </c>
      <c r="I640">
        <f>VLOOKUP(H640,'Informe 2025'!$C$6:$M$166,11,FALSE)</f>
        <v>2</v>
      </c>
    </row>
    <row r="641" spans="1:9" ht="15.75" x14ac:dyDescent="0.25">
      <c r="A641" s="2">
        <v>51</v>
      </c>
      <c r="B641" t="str">
        <f>VLOOKUP(A641,'Informe 2025'!$1:$1048576,2,FALSE)</f>
        <v>JULIO</v>
      </c>
      <c r="C641" s="31" t="s">
        <v>395</v>
      </c>
      <c r="D641" s="20" t="str">
        <f>VLOOKUP(C641,ID!$1:$1048576,4,FALSE)</f>
        <v>102063</v>
      </c>
      <c r="E641" s="20" t="str">
        <f>VLOOKUP(C641,ID!$1:$1048576,3,FALSE)</f>
        <v xml:space="preserve"> MICHELLE ANNETTE</v>
      </c>
      <c r="F641" s="20" t="str">
        <f>VLOOKUP(C641,ID!$1:$1048576,2,FALSE)</f>
        <v>LEAL LEYTON</v>
      </c>
      <c r="G641" s="2" t="str">
        <f>VLOOKUP(D641,CORREOS!$A$2:$B$570,2,FALSE)</f>
        <v>MLEAL@CL.LUCKIA.COM</v>
      </c>
      <c r="H641" s="24" t="str">
        <f>VLOOKUP(A641,'Informe 2025'!$A$5:$C$164,3,FALSE)</f>
        <v>Ley Karin</v>
      </c>
      <c r="I641">
        <f>VLOOKUP(H641,'Informe 2025'!$C$6:$M$166,11,FALSE)</f>
        <v>2</v>
      </c>
    </row>
    <row r="642" spans="1:9" ht="15.75" x14ac:dyDescent="0.25">
      <c r="A642" s="2">
        <v>51</v>
      </c>
      <c r="B642" t="str">
        <f>VLOOKUP(A642,'Informe 2025'!$1:$1048576,2,FALSE)</f>
        <v>JULIO</v>
      </c>
      <c r="C642" s="31" t="s">
        <v>331</v>
      </c>
      <c r="D642" s="20" t="str">
        <f>VLOOKUP(C642,ID!$1:$1048576,4,FALSE)</f>
        <v>102895</v>
      </c>
      <c r="E642" s="20" t="str">
        <f>VLOOKUP(C642,ID!$1:$1048576,3,FALSE)</f>
        <v xml:space="preserve"> LILIAN ALEXANDRA</v>
      </c>
      <c r="F642" s="20" t="str">
        <f>VLOOKUP(C642,ID!$1:$1048576,2,FALSE)</f>
        <v>DELZO ALTAMIRANO</v>
      </c>
      <c r="G642" s="2" t="str">
        <f>VLOOKUP(D642,CORREOS!$A$2:$B$570,2,FALSE)</f>
        <v>LDELZO@CL.LUCKIA.COM</v>
      </c>
      <c r="H642" s="24" t="str">
        <f>VLOOKUP(A642,'Informe 2025'!$A$5:$C$164,3,FALSE)</f>
        <v>Ley Karin</v>
      </c>
      <c r="I642">
        <f>VLOOKUP(H642,'Informe 2025'!$C$6:$M$166,11,FALSE)</f>
        <v>2</v>
      </c>
    </row>
    <row r="643" spans="1:9" ht="15.75" x14ac:dyDescent="0.25">
      <c r="A643" s="2">
        <v>51</v>
      </c>
      <c r="B643" t="str">
        <f>VLOOKUP(A643,'Informe 2025'!$1:$1048576,2,FALSE)</f>
        <v>JULIO</v>
      </c>
      <c r="C643" s="32" t="s">
        <v>340</v>
      </c>
      <c r="D643" s="20" t="str">
        <f>VLOOKUP(C643,ID!$1:$1048576,4,FALSE)</f>
        <v>103561</v>
      </c>
      <c r="E643" s="20" t="str">
        <f>VLOOKUP(C643,ID!$1:$1048576,3,FALSE)</f>
        <v xml:space="preserve"> ANED ALEXSANDRA</v>
      </c>
      <c r="F643" s="20" t="str">
        <f>VLOOKUP(C643,ID!$1:$1048576,2,FALSE)</f>
        <v>FERNANDEZ HERNANDEZ</v>
      </c>
      <c r="G643" s="2" t="str">
        <f>VLOOKUP(D643,CORREOS!$A$2:$B$570,2,FALSE)</f>
        <v>AFHERNANDEZ@CL.LUCKIA.COM</v>
      </c>
      <c r="H643" s="24" t="str">
        <f>VLOOKUP(A643,'Informe 2025'!$A$5:$C$164,3,FALSE)</f>
        <v>Ley Karin</v>
      </c>
      <c r="I643">
        <f>VLOOKUP(H643,'Informe 2025'!$C$6:$M$166,11,FALSE)</f>
        <v>2</v>
      </c>
    </row>
    <row r="644" spans="1:9" ht="15.75" x14ac:dyDescent="0.25">
      <c r="A644" s="2">
        <v>51</v>
      </c>
      <c r="B644" t="str">
        <f>VLOOKUP(A644,'Informe 2025'!$1:$1048576,2,FALSE)</f>
        <v>JULIO</v>
      </c>
      <c r="C644" s="31" t="s">
        <v>491</v>
      </c>
      <c r="D644" s="20" t="str">
        <f>VLOOKUP(C644,ID!$1:$1048576,4,FALSE)</f>
        <v>102893</v>
      </c>
      <c r="E644" s="20" t="str">
        <f>VLOOKUP(C644,ID!$1:$1048576,3,FALSE)</f>
        <v xml:space="preserve"> YEREMI ALAN</v>
      </c>
      <c r="F644" s="20" t="str">
        <f>VLOOKUP(C644,ID!$1:$1048576,2,FALSE)</f>
        <v>ROJAS MORGADO</v>
      </c>
      <c r="G644" s="2" t="str">
        <f>VLOOKUP(D644,CORREOS!$A$2:$B$570,2,FALSE)</f>
        <v>YRMORGADO@CL.LUCKIA.COM</v>
      </c>
      <c r="H644" s="24" t="str">
        <f>VLOOKUP(A644,'Informe 2025'!$A$5:$C$164,3,FALSE)</f>
        <v>Ley Karin</v>
      </c>
      <c r="I644">
        <f>VLOOKUP(H644,'Informe 2025'!$C$6:$M$166,11,FALSE)</f>
        <v>2</v>
      </c>
    </row>
    <row r="645" spans="1:9" ht="15.75" x14ac:dyDescent="0.25">
      <c r="A645" s="2">
        <v>52</v>
      </c>
      <c r="B645" t="str">
        <f>VLOOKUP(A645,'Informe 2025'!$1:$1048576,2,FALSE)</f>
        <v>JULIO</v>
      </c>
      <c r="C645" s="31" t="s">
        <v>531</v>
      </c>
      <c r="D645" s="20" t="str">
        <f>VLOOKUP(C645,ID!$1:$1048576,4,FALSE)</f>
        <v>102866</v>
      </c>
      <c r="E645" s="20" t="str">
        <f>VLOOKUP(C645,ID!$1:$1048576,3,FALSE)</f>
        <v xml:space="preserve"> CRISTOPHER</v>
      </c>
      <c r="F645" s="20" t="str">
        <f>VLOOKUP(C645,ID!$1:$1048576,2,FALSE)</f>
        <v>VILLARROEL LUNA</v>
      </c>
      <c r="G645" s="2" t="str">
        <f>VLOOKUP(D645,CORREOS!$A$2:$B$570,2,FALSE)</f>
        <v>CVILLARROEL@ANTAYHOTELES.CL</v>
      </c>
      <c r="H645" s="24" t="str">
        <f>VLOOKUP(A645,'Informe 2025'!$A$5:$C$164,3,FALSE)</f>
        <v>Rol del lider como mentor</v>
      </c>
      <c r="I645">
        <f>VLOOKUP(H645,'Informe 2025'!$C$6:$M$166,11,FALSE)</f>
        <v>16</v>
      </c>
    </row>
    <row r="646" spans="1:9" ht="15.75" x14ac:dyDescent="0.25">
      <c r="A646" s="2">
        <v>52</v>
      </c>
      <c r="B646" t="str">
        <f>VLOOKUP(A646,'Informe 2025'!$1:$1048576,2,FALSE)</f>
        <v>JULIO</v>
      </c>
      <c r="C646" s="31" t="s">
        <v>275</v>
      </c>
      <c r="D646" s="20" t="str">
        <f>VLOOKUP(C646,ID!$1:$1048576,4,FALSE)</f>
        <v>102798</v>
      </c>
      <c r="E646" s="20" t="str">
        <f>VLOOKUP(C646,ID!$1:$1048576,3,FALSE)</f>
        <v xml:space="preserve"> ANAHI PAZ</v>
      </c>
      <c r="F646" s="20" t="str">
        <f>VLOOKUP(C646,ID!$1:$1048576,2,FALSE)</f>
        <v>ASTUDILLO MUÑOZ</v>
      </c>
      <c r="G646" s="2" t="str">
        <f>VLOOKUP(D646,CORREOS!$A$2:$B$570,2,FALSE)</f>
        <v>AASTUDILLO@ANTAYHOTELES.CL</v>
      </c>
      <c r="H646" s="24" t="str">
        <f>VLOOKUP(A646,'Informe 2025'!$A$5:$C$164,3,FALSE)</f>
        <v>Rol del lider como mentor</v>
      </c>
      <c r="I646">
        <f>VLOOKUP(H646,'Informe 2025'!$C$6:$M$166,11,FALSE)</f>
        <v>16</v>
      </c>
    </row>
    <row r="647" spans="1:9" ht="15.75" x14ac:dyDescent="0.25">
      <c r="A647" s="2">
        <v>52</v>
      </c>
      <c r="B647" t="str">
        <f>VLOOKUP(A647,'Informe 2025'!$1:$1048576,2,FALSE)</f>
        <v>JULIO</v>
      </c>
      <c r="C647" s="31" t="s">
        <v>419</v>
      </c>
      <c r="D647" s="20" t="str">
        <f>VLOOKUP(C647,ID!$1:$1048576,4,FALSE)</f>
        <v>103074</v>
      </c>
      <c r="E647" s="20" t="str">
        <f>VLOOKUP(C647,ID!$1:$1048576,3,FALSE)</f>
        <v xml:space="preserve"> JOHANN</v>
      </c>
      <c r="F647" s="20" t="str">
        <f>VLOOKUP(C647,ID!$1:$1048576,2,FALSE)</f>
        <v>MIRANDA VIZA</v>
      </c>
      <c r="G647" s="2" t="str">
        <f>VLOOKUP(D647,CORREOS!$A$2:$B$570,2,FALSE)</f>
        <v>JMVIZA@ANTAYHOTELES.CL</v>
      </c>
      <c r="H647" s="24" t="str">
        <f>VLOOKUP(A647,'Informe 2025'!$A$5:$C$164,3,FALSE)</f>
        <v>Rol del lider como mentor</v>
      </c>
      <c r="I647">
        <f>VLOOKUP(H647,'Informe 2025'!$C$6:$M$166,11,FALSE)</f>
        <v>16</v>
      </c>
    </row>
    <row r="648" spans="1:9" ht="15.75" x14ac:dyDescent="0.25">
      <c r="A648" s="2">
        <v>52</v>
      </c>
      <c r="B648" t="str">
        <f>VLOOKUP(A648,'Informe 2025'!$1:$1048576,2,FALSE)</f>
        <v>JULIO</v>
      </c>
      <c r="C648" s="31" t="s">
        <v>290</v>
      </c>
      <c r="D648" s="20" t="str">
        <f>VLOOKUP(C648,ID!$1:$1048576,4,FALSE)</f>
        <v>101522</v>
      </c>
      <c r="E648" s="20" t="str">
        <f>VLOOKUP(C648,ID!$1:$1048576,3,FALSE)</f>
        <v xml:space="preserve"> ADAN MOISES</v>
      </c>
      <c r="F648" s="20" t="str">
        <f>VLOOKUP(C648,ID!$1:$1048576,2,FALSE)</f>
        <v>CARRASCO ANABALON</v>
      </c>
      <c r="G648" s="2" t="str">
        <f>VLOOKUP(D648,CORREOS!$A$2:$B$570,2,FALSE)</f>
        <v>ADANMOISES.CARRASCO@CL.LUCKIA.COM</v>
      </c>
      <c r="H648" s="24" t="str">
        <f>VLOOKUP(A648,'Informe 2025'!$A$5:$C$164,3,FALSE)</f>
        <v>Rol del lider como mentor</v>
      </c>
      <c r="I648">
        <f>VLOOKUP(H648,'Informe 2025'!$C$6:$M$166,11,FALSE)</f>
        <v>16</v>
      </c>
    </row>
    <row r="649" spans="1:9" ht="15.75" x14ac:dyDescent="0.25">
      <c r="A649" s="2">
        <v>52</v>
      </c>
      <c r="B649" t="str">
        <f>VLOOKUP(A649,'Informe 2025'!$1:$1048576,2,FALSE)</f>
        <v>JULIO</v>
      </c>
      <c r="C649" s="31" t="s">
        <v>1942</v>
      </c>
      <c r="D649" s="20" t="str">
        <f>VLOOKUP(C649,ID!$1:$1048576,4,FALSE)</f>
        <v>102421</v>
      </c>
      <c r="E649" s="20" t="str">
        <f>VLOOKUP(C649,ID!$1:$1048576,3,FALSE)</f>
        <v xml:space="preserve"> ROSARIO ANDREA</v>
      </c>
      <c r="F649" s="20" t="str">
        <f>VLOOKUP(C649,ID!$1:$1048576,2,FALSE)</f>
        <v>MORALES SOTOMAYOR</v>
      </c>
      <c r="G649" s="2" t="str">
        <f>VLOOKUP(D649,CORREOS!$A$2:$B$570,2,FALSE)</f>
        <v>RMSOTOMAYOR@CL.LUCKIA.COM</v>
      </c>
      <c r="H649" s="24" t="str">
        <f>VLOOKUP(A649,'Informe 2025'!$A$5:$C$164,3,FALSE)</f>
        <v>Rol del lider como mentor</v>
      </c>
      <c r="I649">
        <f>VLOOKUP(H649,'Informe 2025'!$C$6:$M$166,11,FALSE)</f>
        <v>16</v>
      </c>
    </row>
    <row r="650" spans="1:9" ht="15.75" x14ac:dyDescent="0.25">
      <c r="A650" s="2">
        <v>52</v>
      </c>
      <c r="B650" t="str">
        <f>VLOOKUP(A650,'Informe 2025'!$1:$1048576,2,FALSE)</f>
        <v>JULIO</v>
      </c>
      <c r="C650" s="31" t="s">
        <v>407</v>
      </c>
      <c r="D650" s="20" t="str">
        <f>VLOOKUP(C650,ID!$1:$1048576,4,FALSE)</f>
        <v>101826</v>
      </c>
      <c r="E650" s="20" t="str">
        <f>VLOOKUP(C650,ID!$1:$1048576,3,FALSE)</f>
        <v xml:space="preserve"> NARELA ALIZON JUDYT</v>
      </c>
      <c r="F650" s="20" t="str">
        <f>VLOOKUP(C650,ID!$1:$1048576,2,FALSE)</f>
        <v>MARINO ALARO</v>
      </c>
      <c r="G650" s="2" t="str">
        <f>VLOOKUP(D650,CORREOS!$A$2:$B$570,2,FALSE)</f>
        <v>NMARINO@CL.LUCKIA.COM</v>
      </c>
      <c r="H650" s="24" t="str">
        <f>VLOOKUP(A650,'Informe 2025'!$A$5:$C$164,3,FALSE)</f>
        <v>Rol del lider como mentor</v>
      </c>
      <c r="I650">
        <f>VLOOKUP(H650,'Informe 2025'!$C$6:$M$166,11,FALSE)</f>
        <v>16</v>
      </c>
    </row>
    <row r="651" spans="1:9" ht="15.75" x14ac:dyDescent="0.25">
      <c r="A651" s="2">
        <v>52</v>
      </c>
      <c r="B651" t="str">
        <f>VLOOKUP(A651,'Informe 2025'!$1:$1048576,2,FALSE)</f>
        <v>JULIO</v>
      </c>
      <c r="C651" s="31" t="s">
        <v>487</v>
      </c>
      <c r="D651" s="20" t="str">
        <f>VLOOKUP(C651,ID!$1:$1048576,4,FALSE)</f>
        <v>101978</v>
      </c>
      <c r="E651" s="20" t="str">
        <f>VLOOKUP(C651,ID!$1:$1048576,3,FALSE)</f>
        <v xml:space="preserve"> ARANTZA DOMINIQUE FIONA</v>
      </c>
      <c r="F651" s="20" t="str">
        <f>VLOOKUP(C651,ID!$1:$1048576,2,FALSE)</f>
        <v>ROJAS CALLEJAS</v>
      </c>
      <c r="G651" s="2" t="str">
        <f>VLOOKUP(D651,CORREOS!$A$2:$B$570,2,FALSE)</f>
        <v>ARCALLEJAS@ANTAYHOTELES.CL</v>
      </c>
      <c r="H651" s="24" t="str">
        <f>VLOOKUP(A651,'Informe 2025'!$A$5:$C$164,3,FALSE)</f>
        <v>Rol del lider como mentor</v>
      </c>
      <c r="I651">
        <f>VLOOKUP(H651,'Informe 2025'!$C$6:$M$166,11,FALSE)</f>
        <v>16</v>
      </c>
    </row>
    <row r="652" spans="1:9" ht="15.75" x14ac:dyDescent="0.25">
      <c r="A652" s="2">
        <v>52</v>
      </c>
      <c r="B652" t="str">
        <f>VLOOKUP(A652,'Informe 2025'!$1:$1048576,2,FALSE)</f>
        <v>JULIO</v>
      </c>
      <c r="C652" s="31" t="s">
        <v>512</v>
      </c>
      <c r="D652" s="20" t="str">
        <f>VLOOKUP(C652,ID!$1:$1048576,4,FALSE)</f>
        <v>101563</v>
      </c>
      <c r="E652" s="20" t="str">
        <f>VLOOKUP(C652,ID!$1:$1048576,3,FALSE)</f>
        <v xml:space="preserve"> FRANCISCO JAVIER</v>
      </c>
      <c r="F652" s="20" t="str">
        <f>VLOOKUP(C652,ID!$1:$1048576,2,FALSE)</f>
        <v>TELLO CARDENAS</v>
      </c>
      <c r="G652" s="2" t="str">
        <f>VLOOKUP(D652,CORREOS!$A$2:$B$570,2,FALSE)</f>
        <v>FRANCISCOJAVIER.TELLO@ANTAYHOTELES.CL</v>
      </c>
      <c r="H652" s="24" t="str">
        <f>VLOOKUP(A652,'Informe 2025'!$A$5:$C$164,3,FALSE)</f>
        <v>Rol del lider como mentor</v>
      </c>
      <c r="I652">
        <f>VLOOKUP(H652,'Informe 2025'!$C$6:$M$166,11,FALSE)</f>
        <v>16</v>
      </c>
    </row>
    <row r="653" spans="1:9" ht="15.75" x14ac:dyDescent="0.25">
      <c r="A653" s="2">
        <v>52</v>
      </c>
      <c r="B653" t="str">
        <f>VLOOKUP(A653,'Informe 2025'!$1:$1048576,2,FALSE)</f>
        <v>JULIO</v>
      </c>
      <c r="C653" s="31" t="s">
        <v>1810</v>
      </c>
      <c r="D653" s="20" t="str">
        <f>VLOOKUP(C653,ID!$1:$1048576,4,FALSE)</f>
        <v>101425</v>
      </c>
      <c r="E653" s="20" t="str">
        <f>VLOOKUP(C653,ID!$1:$1048576,3,FALSE)</f>
        <v xml:space="preserve"> KAREN PAMELA</v>
      </c>
      <c r="F653" s="20" t="str">
        <f>VLOOKUP(C653,ID!$1:$1048576,2,FALSE)</f>
        <v>SANTANA JUAREZ</v>
      </c>
      <c r="G653" s="2" t="str">
        <f>VLOOKUP(D653,CORREOS!$A$2:$B$570,2,FALSE)</f>
        <v>KARENPAMELA.SANTANA@antayhoteles.cl</v>
      </c>
      <c r="H653" s="24" t="str">
        <f>VLOOKUP(A653,'Informe 2025'!$A$5:$C$164,3,FALSE)</f>
        <v>Rol del lider como mentor</v>
      </c>
      <c r="I653">
        <f>VLOOKUP(H653,'Informe 2025'!$C$6:$M$166,11,FALSE)</f>
        <v>16</v>
      </c>
    </row>
    <row r="654" spans="1:9" ht="15.75" x14ac:dyDescent="0.25">
      <c r="A654" s="2">
        <v>52</v>
      </c>
      <c r="B654" t="str">
        <f>VLOOKUP(A654,'Informe 2025'!$1:$1048576,2,FALSE)</f>
        <v>JULIO</v>
      </c>
      <c r="C654" s="31" t="s">
        <v>432</v>
      </c>
      <c r="D654" s="20" t="str">
        <f>VLOOKUP(C654,ID!$1:$1048576,4,FALSE)</f>
        <v>102696</v>
      </c>
      <c r="E654" s="20" t="str">
        <f>VLOOKUP(C654,ID!$1:$1048576,3,FALSE)</f>
        <v xml:space="preserve"> FELIPE</v>
      </c>
      <c r="F654" s="20" t="str">
        <f>VLOOKUP(C654,ID!$1:$1048576,2,FALSE)</f>
        <v>NAHUEL HUENUPI</v>
      </c>
      <c r="G654" s="2" t="str">
        <f>VLOOKUP(D654,CORREOS!$A$2:$B$570,2,FALSE)</f>
        <v>FNAHUEL@ANTAYHOTELES.CL</v>
      </c>
      <c r="H654" s="24" t="str">
        <f>VLOOKUP(A654,'Informe 2025'!$A$5:$C$164,3,FALSE)</f>
        <v>Rol del lider como mentor</v>
      </c>
      <c r="I654">
        <f>VLOOKUP(H654,'Informe 2025'!$C$6:$M$166,11,FALSE)</f>
        <v>16</v>
      </c>
    </row>
    <row r="655" spans="1:9" ht="15.75" x14ac:dyDescent="0.25">
      <c r="A655" s="2">
        <v>52</v>
      </c>
      <c r="B655" t="str">
        <f>VLOOKUP(A655,'Informe 2025'!$1:$1048576,2,FALSE)</f>
        <v>JULIO</v>
      </c>
      <c r="C655" s="31" t="s">
        <v>530</v>
      </c>
      <c r="D655" s="20" t="str">
        <f>VLOOKUP(C655,ID!$1:$1048576,4,FALSE)</f>
        <v>102695</v>
      </c>
      <c r="E655" s="20" t="str">
        <f>VLOOKUP(C655,ID!$1:$1048576,3,FALSE)</f>
        <v xml:space="preserve"> MAURICIO</v>
      </c>
      <c r="F655" s="20" t="str">
        <f>VLOOKUP(C655,ID!$1:$1048576,2,FALSE)</f>
        <v>VILDOSO GARRIDO</v>
      </c>
      <c r="G655" s="2" t="str">
        <f>VLOOKUP(D655,CORREOS!$A$2:$B$570,2,FALSE)</f>
        <v>MVILDOSO@ANTAYHOTELES.CL</v>
      </c>
      <c r="H655" s="24" t="str">
        <f>VLOOKUP(A655,'Informe 2025'!$A$5:$C$164,3,FALSE)</f>
        <v>Rol del lider como mentor</v>
      </c>
      <c r="I655">
        <f>VLOOKUP(H655,'Informe 2025'!$C$6:$M$166,11,FALSE)</f>
        <v>16</v>
      </c>
    </row>
    <row r="656" spans="1:9" ht="15.75" x14ac:dyDescent="0.25">
      <c r="A656" s="2">
        <v>52</v>
      </c>
      <c r="B656" t="str">
        <f>VLOOKUP(A656,'Informe 2025'!$1:$1048576,2,FALSE)</f>
        <v>JULIO</v>
      </c>
      <c r="C656" s="31" t="s">
        <v>374</v>
      </c>
      <c r="D656" s="20" t="str">
        <f>VLOOKUP(C656,ID!$1:$1048576,4,FALSE)</f>
        <v>101807</v>
      </c>
      <c r="E656" s="20" t="str">
        <f>VLOOKUP(C656,ID!$1:$1048576,3,FALSE)</f>
        <v xml:space="preserve"> MIGUEL PATRICIO</v>
      </c>
      <c r="F656" s="20" t="str">
        <f>VLOOKUP(C656,ID!$1:$1048576,2,FALSE)</f>
        <v>GONZALEZ TORRES</v>
      </c>
      <c r="G656" s="2" t="str">
        <f>VLOOKUP(D656,CORREOS!$A$2:$B$570,2,FALSE)</f>
        <v>MIGUEL.GONZALEZ@CL.LUCKIA.COM</v>
      </c>
      <c r="H656" s="24" t="str">
        <f>VLOOKUP(A656,'Informe 2025'!$A$5:$C$164,3,FALSE)</f>
        <v>Rol del lider como mentor</v>
      </c>
      <c r="I656">
        <f>VLOOKUP(H656,'Informe 2025'!$C$6:$M$166,11,FALSE)</f>
        <v>16</v>
      </c>
    </row>
    <row r="657" spans="1:9" ht="15.75" x14ac:dyDescent="0.25">
      <c r="A657" s="2">
        <v>52</v>
      </c>
      <c r="B657" t="str">
        <f>VLOOKUP(A657,'Informe 2025'!$1:$1048576,2,FALSE)</f>
        <v>JULIO</v>
      </c>
      <c r="C657" s="31" t="s">
        <v>341</v>
      </c>
      <c r="D657" s="20" t="str">
        <f>VLOOKUP(C657,ID!$1:$1048576,4,FALSE)</f>
        <v>101336</v>
      </c>
      <c r="E657" s="20" t="str">
        <f>VLOOKUP(C657,ID!$1:$1048576,3,FALSE)</f>
        <v xml:space="preserve"> EDGARDO</v>
      </c>
      <c r="F657" s="20" t="str">
        <f>VLOOKUP(C657,ID!$1:$1048576,2,FALSE)</f>
        <v>FLORES ALARCON</v>
      </c>
      <c r="G657" s="2" t="str">
        <f>VLOOKUP(D657,CORREOS!$A$2:$B$570,2,FALSE)</f>
        <v>EDGARDO.FLORES@CL.LUCKIA.COM</v>
      </c>
      <c r="H657" s="24" t="str">
        <f>VLOOKUP(A657,'Informe 2025'!$A$5:$C$164,3,FALSE)</f>
        <v>Rol del lider como mentor</v>
      </c>
      <c r="I657">
        <f>VLOOKUP(H657,'Informe 2025'!$C$6:$M$166,11,FALSE)</f>
        <v>16</v>
      </c>
    </row>
    <row r="658" spans="1:9" ht="15.75" x14ac:dyDescent="0.25">
      <c r="A658" s="2">
        <v>52</v>
      </c>
      <c r="B658" t="str">
        <f>VLOOKUP(A658,'Informe 2025'!$1:$1048576,2,FALSE)</f>
        <v>JULIO</v>
      </c>
      <c r="C658" s="31" t="s">
        <v>509</v>
      </c>
      <c r="D658" s="20" t="str">
        <f>VLOOKUP(C658,ID!$1:$1048576,4,FALSE)</f>
        <v>100156</v>
      </c>
      <c r="E658" s="20" t="str">
        <f>VLOOKUP(C658,ID!$1:$1048576,3,FALSE)</f>
        <v xml:space="preserve"> KENJEI IVAR</v>
      </c>
      <c r="F658" s="20" t="str">
        <f>VLOOKUP(C658,ID!$1:$1048576,2,FALSE)</f>
        <v>STIPELCOVICH STIPELCOVICH</v>
      </c>
      <c r="G658" s="2" t="str">
        <f>VLOOKUP(D658,CORREOS!$A$2:$B$570,2,FALSE)</f>
        <v>KENJEI.STIPELCOVICH@CL.LUCKIA.COM</v>
      </c>
      <c r="H658" s="24" t="str">
        <f>VLOOKUP(A658,'Informe 2025'!$A$5:$C$164,3,FALSE)</f>
        <v>Rol del lider como mentor</v>
      </c>
      <c r="I658">
        <f>VLOOKUP(H658,'Informe 2025'!$C$6:$M$166,11,FALSE)</f>
        <v>16</v>
      </c>
    </row>
    <row r="659" spans="1:9" ht="15.75" x14ac:dyDescent="0.25">
      <c r="A659" s="2">
        <v>52</v>
      </c>
      <c r="B659" t="str">
        <f>VLOOKUP(A659,'Informe 2025'!$1:$1048576,2,FALSE)</f>
        <v>JULIO</v>
      </c>
      <c r="C659" s="31" t="s">
        <v>1662</v>
      </c>
      <c r="D659" s="20" t="str">
        <f>VLOOKUP(C659,ID!$1:$1048576,4,FALSE)</f>
        <v>102451</v>
      </c>
      <c r="E659" s="20" t="str">
        <f>VLOOKUP(C659,ID!$1:$1048576,3,FALSE)</f>
        <v xml:space="preserve"> YRENE YNES</v>
      </c>
      <c r="F659" s="20" t="str">
        <f>VLOOKUP(C659,ID!$1:$1048576,2,FALSE)</f>
        <v>RUJANO FLORES</v>
      </c>
      <c r="G659" s="2" t="e">
        <f>VLOOKUP(D659,CORREOS!$A$2:$B$570,2,FALSE)</f>
        <v>#N/A</v>
      </c>
      <c r="H659" s="24" t="str">
        <f>VLOOKUP(A659,'Informe 2025'!$A$5:$C$164,3,FALSE)</f>
        <v>Rol del lider como mentor</v>
      </c>
      <c r="I659">
        <f>VLOOKUP(H659,'Informe 2025'!$C$6:$M$166,11,FALSE)</f>
        <v>16</v>
      </c>
    </row>
    <row r="660" spans="1:9" ht="15.75" x14ac:dyDescent="0.25">
      <c r="A660" s="2">
        <v>52</v>
      </c>
      <c r="B660" t="str">
        <f>VLOOKUP(A660,'Informe 2025'!$1:$1048576,2,FALSE)</f>
        <v>JULIO</v>
      </c>
      <c r="C660" s="31" t="s">
        <v>378</v>
      </c>
      <c r="D660" s="20" t="str">
        <f>VLOOKUP(C660,ID!$1:$1048576,4,FALSE)</f>
        <v>101407</v>
      </c>
      <c r="E660" s="20" t="str">
        <f>VLOOKUP(C660,ID!$1:$1048576,3,FALSE)</f>
        <v xml:space="preserve"> JOSEPH ALFREDO</v>
      </c>
      <c r="F660" s="20" t="str">
        <f>VLOOKUP(C660,ID!$1:$1048576,2,FALSE)</f>
        <v>HENRIQUEZ ARAYA</v>
      </c>
      <c r="G660" s="2" t="str">
        <f>VLOOKUP(D660,CORREOS!$A$2:$B$570,2,FALSE)</f>
        <v>JOSEPHALFREDO.HENRIQUEZ@CL.LUCKIA.COM</v>
      </c>
      <c r="H660" s="24" t="str">
        <f>VLOOKUP(A660,'Informe 2025'!$A$5:$C$164,3,FALSE)</f>
        <v>Rol del lider como mentor</v>
      </c>
      <c r="I660">
        <f>VLOOKUP(H660,'Informe 2025'!$C$6:$M$166,11,FALSE)</f>
        <v>16</v>
      </c>
    </row>
    <row r="661" spans="1:9" ht="15.75" x14ac:dyDescent="0.25">
      <c r="A661" s="2">
        <v>52</v>
      </c>
      <c r="B661" t="str">
        <f>VLOOKUP(A661,'Informe 2025'!$1:$1048576,2,FALSE)</f>
        <v>JULIO</v>
      </c>
      <c r="C661" s="31" t="s">
        <v>320</v>
      </c>
      <c r="D661" s="20" t="str">
        <f>VLOOKUP(C661,ID!$1:$1048576,4,FALSE)</f>
        <v>102424</v>
      </c>
      <c r="E661" s="20" t="str">
        <f>VLOOKUP(C661,ID!$1:$1048576,3,FALSE)</f>
        <v xml:space="preserve"> NOEMI MONSERRAT</v>
      </c>
      <c r="F661" s="20" t="str">
        <f>VLOOKUP(C661,ID!$1:$1048576,2,FALSE)</f>
        <v>COPAJA MORALES</v>
      </c>
      <c r="G661" s="2" t="str">
        <f>VLOOKUP(D661,CORREOS!$A$2:$B$570,2,FALSE)</f>
        <v>NCOPAJA@ANTAYHOTELES.CL</v>
      </c>
      <c r="H661" s="24" t="str">
        <f>VLOOKUP(A661,'Informe 2025'!$A$5:$C$164,3,FALSE)</f>
        <v>Rol del lider como mentor</v>
      </c>
      <c r="I661">
        <f>VLOOKUP(H661,'Informe 2025'!$C$6:$M$166,11,FALSE)</f>
        <v>16</v>
      </c>
    </row>
    <row r="662" spans="1:9" ht="15.75" x14ac:dyDescent="0.25">
      <c r="A662" s="2">
        <v>52</v>
      </c>
      <c r="B662" t="str">
        <f>VLOOKUP(A662,'Informe 2025'!$1:$1048576,2,FALSE)</f>
        <v>JULIO</v>
      </c>
      <c r="C662" s="31" t="s">
        <v>383</v>
      </c>
      <c r="D662" s="20" t="str">
        <f>VLOOKUP(C662,ID!$1:$1048576,4,FALSE)</f>
        <v>101680</v>
      </c>
      <c r="E662" s="20" t="str">
        <f>VLOOKUP(C662,ID!$1:$1048576,3,FALSE)</f>
        <v xml:space="preserve"> LEONEL ALEXIS</v>
      </c>
      <c r="F662" s="20" t="str">
        <f>VLOOKUP(C662,ID!$1:$1048576,2,FALSE)</f>
        <v>HERRERA HINOJOSA</v>
      </c>
      <c r="G662" s="2" t="str">
        <f>VLOOKUP(D662,CORREOS!$A$2:$B$570,2,FALSE)</f>
        <v>LEONELALEXIS.HERRERA@CL.LUCKIA.COM</v>
      </c>
      <c r="H662" s="24" t="str">
        <f>VLOOKUP(A662,'Informe 2025'!$A$5:$C$164,3,FALSE)</f>
        <v>Rol del lider como mentor</v>
      </c>
      <c r="I662">
        <f>VLOOKUP(H662,'Informe 2025'!$C$6:$M$166,11,FALSE)</f>
        <v>16</v>
      </c>
    </row>
    <row r="663" spans="1:9" ht="15.75" x14ac:dyDescent="0.25">
      <c r="A663" s="2">
        <v>52</v>
      </c>
      <c r="B663" t="str">
        <f>VLOOKUP(A663,'Informe 2025'!$1:$1048576,2,FALSE)</f>
        <v>JULIO</v>
      </c>
      <c r="C663" s="31" t="s">
        <v>482</v>
      </c>
      <c r="D663" s="20" t="str">
        <f>VLOOKUP(C663,ID!$1:$1048576,4,FALSE)</f>
        <v>101320</v>
      </c>
      <c r="E663" s="20" t="str">
        <f>VLOOKUP(C663,ID!$1:$1048576,3,FALSE)</f>
        <v xml:space="preserve"> JAVIERA FERNANDA</v>
      </c>
      <c r="F663" s="20" t="str">
        <f>VLOOKUP(C663,ID!$1:$1048576,2,FALSE)</f>
        <v>RIVERA PEREZ</v>
      </c>
      <c r="G663" s="2" t="str">
        <f>VLOOKUP(D663,CORREOS!$A$2:$B$570,2,FALSE)</f>
        <v>JAVIERA.RIVERA@CL.LUCKIA.COM</v>
      </c>
      <c r="H663" s="24" t="str">
        <f>VLOOKUP(A663,'Informe 2025'!$A$5:$C$164,3,FALSE)</f>
        <v>Rol del lider como mentor</v>
      </c>
      <c r="I663">
        <f>VLOOKUP(H663,'Informe 2025'!$C$6:$M$166,11,FALSE)</f>
        <v>16</v>
      </c>
    </row>
    <row r="664" spans="1:9" ht="15.75" x14ac:dyDescent="0.25">
      <c r="A664" s="2">
        <v>52</v>
      </c>
      <c r="B664" t="str">
        <f>VLOOKUP(A664,'Informe 2025'!$1:$1048576,2,FALSE)</f>
        <v>JULIO</v>
      </c>
      <c r="C664" s="31" t="s">
        <v>429</v>
      </c>
      <c r="D664" s="20" t="str">
        <f>VLOOKUP(C664,ID!$1:$1048576,4,FALSE)</f>
        <v>100483</v>
      </c>
      <c r="E664" s="20" t="str">
        <f>VLOOKUP(C664,ID!$1:$1048576,3,FALSE)</f>
        <v xml:space="preserve"> PETER HEINZ</v>
      </c>
      <c r="F664" s="20" t="str">
        <f>VLOOKUP(C664,ID!$1:$1048576,2,FALSE)</f>
        <v>MÜFFELER VERGARA</v>
      </c>
      <c r="G664" s="2" t="str">
        <f>VLOOKUP(D664,CORREOS!$A$2:$B$570,2,FALSE)</f>
        <v>PETER.MUFFELER@CL.LUCKIA.COM</v>
      </c>
      <c r="H664" s="24" t="str">
        <f>VLOOKUP(A664,'Informe 2025'!$A$5:$C$164,3,FALSE)</f>
        <v>Rol del lider como mentor</v>
      </c>
      <c r="I664">
        <f>VLOOKUP(H664,'Informe 2025'!$C$6:$M$166,11,FALSE)</f>
        <v>16</v>
      </c>
    </row>
    <row r="665" spans="1:9" ht="15.75" x14ac:dyDescent="0.25">
      <c r="A665" s="2">
        <v>52</v>
      </c>
      <c r="B665" t="str">
        <f>VLOOKUP(A665,'Informe 2025'!$1:$1048576,2,FALSE)</f>
        <v>JULIO</v>
      </c>
      <c r="C665" s="31" t="s">
        <v>289</v>
      </c>
      <c r="D665" s="20" t="str">
        <f>VLOOKUP(C665,ID!$1:$1048576,4,FALSE)</f>
        <v>101866</v>
      </c>
      <c r="E665" s="20" t="str">
        <f>VLOOKUP(C665,ID!$1:$1048576,3,FALSE)</f>
        <v xml:space="preserve"> MELANIE EUGENIA</v>
      </c>
      <c r="F665" s="20" t="str">
        <f>VLOOKUP(C665,ID!$1:$1048576,2,FALSE)</f>
        <v>CARMONA JAIME</v>
      </c>
      <c r="G665" s="2" t="str">
        <f>VLOOKUP(D665,CORREOS!$A$2:$B$570,2,FALSE)</f>
        <v>MCJAIME@ANTAYHOTELES.CL</v>
      </c>
      <c r="H665" s="24" t="str">
        <f>VLOOKUP(A665,'Informe 2025'!$A$5:$C$164,3,FALSE)</f>
        <v>Rol del lider como mentor</v>
      </c>
      <c r="I665">
        <f>VLOOKUP(H665,'Informe 2025'!$C$6:$M$166,11,FALSE)</f>
        <v>16</v>
      </c>
    </row>
    <row r="666" spans="1:9" ht="15.75" x14ac:dyDescent="0.25">
      <c r="A666" s="2">
        <v>53</v>
      </c>
      <c r="B666" t="str">
        <f>VLOOKUP(A666,'Informe 2025'!$1:$1048576,2,FALSE)</f>
        <v>JULIO</v>
      </c>
      <c r="C666" s="31" t="s">
        <v>322</v>
      </c>
      <c r="D666" s="20" t="str">
        <f>VLOOKUP(C666,ID!$1:$1048576,4,FALSE)</f>
        <v>101506</v>
      </c>
      <c r="E666" s="20" t="str">
        <f>VLOOKUP(C666,ID!$1:$1048576,3,FALSE)</f>
        <v xml:space="preserve"> PAOLA MAGDALENA</v>
      </c>
      <c r="F666" s="20" t="str">
        <f>VLOOKUP(C666,ID!$1:$1048576,2,FALSE)</f>
        <v>CORTES CORTES</v>
      </c>
      <c r="G666" s="2" t="str">
        <f>VLOOKUP(D666,CORREOS!$A$2:$B$570,2,FALSE)</f>
        <v>PAOLA.CORTES@CL.LUCKIA.COM</v>
      </c>
      <c r="H666" s="24" t="str">
        <f>VLOOKUP(A666,'Informe 2025'!$A$5:$C$164,3,FALSE)</f>
        <v>Rol del lider como mentor</v>
      </c>
      <c r="I666">
        <f>VLOOKUP(H666,'Informe 2025'!$C$6:$M$166,11,FALSE)</f>
        <v>16</v>
      </c>
    </row>
    <row r="667" spans="1:9" ht="15.75" x14ac:dyDescent="0.25">
      <c r="A667" s="2">
        <v>53</v>
      </c>
      <c r="B667" t="str">
        <f>VLOOKUP(A667,'Informe 2025'!$1:$1048576,2,FALSE)</f>
        <v>JULIO</v>
      </c>
      <c r="C667" s="31" t="s">
        <v>243</v>
      </c>
      <c r="D667" s="20" t="str">
        <f>VLOOKUP(C667,ID!$1:$1048576,4,FALSE)</f>
        <v>100348</v>
      </c>
      <c r="E667" s="20" t="str">
        <f>VLOOKUP(C667,ID!$1:$1048576,3,FALSE)</f>
        <v xml:space="preserve"> FATIMA JUDITH</v>
      </c>
      <c r="F667" s="20" t="str">
        <f>VLOOKUP(C667,ID!$1:$1048576,2,FALSE)</f>
        <v>AGUIRRE ESPINOZA</v>
      </c>
      <c r="G667" s="2" t="str">
        <f>VLOOKUP(D667,CORREOS!$A$2:$B$570,2,FALSE)</f>
        <v>JUDITH.AGUIRRE@CL.LUCKIA.COM</v>
      </c>
      <c r="H667" s="24" t="str">
        <f>VLOOKUP(A667,'Informe 2025'!$A$5:$C$164,3,FALSE)</f>
        <v>Rol del lider como mentor</v>
      </c>
      <c r="I667">
        <f>VLOOKUP(H667,'Informe 2025'!$C$6:$M$166,11,FALSE)</f>
        <v>16</v>
      </c>
    </row>
    <row r="668" spans="1:9" ht="15.75" x14ac:dyDescent="0.25">
      <c r="A668" s="2">
        <v>53</v>
      </c>
      <c r="B668" t="str">
        <f>VLOOKUP(A668,'Informe 2025'!$1:$1048576,2,FALSE)</f>
        <v>JULIO</v>
      </c>
      <c r="C668" s="31" t="s">
        <v>1917</v>
      </c>
      <c r="D668" s="20" t="str">
        <f>VLOOKUP(C668,ID!$1:$1048576,4,FALSE)</f>
        <v>101791</v>
      </c>
      <c r="E668" s="20" t="str">
        <f>VLOOKUP(C668,ID!$1:$1048576,3,FALSE)</f>
        <v xml:space="preserve"> MARIA ESTHER</v>
      </c>
      <c r="F668" s="20" t="str">
        <f>VLOOKUP(C668,ID!$1:$1048576,2,FALSE)</f>
        <v>GONZALEZ GONZALEZ</v>
      </c>
      <c r="G668" s="2" t="str">
        <f>VLOOKUP(D668,CORREOS!$A$2:$B$570,2,FALSE)</f>
        <v>MARIAESTHER.GONZALEZ@ANTAYHOTELES.CL</v>
      </c>
      <c r="H668" s="24" t="str">
        <f>VLOOKUP(A668,'Informe 2025'!$A$5:$C$164,3,FALSE)</f>
        <v>Rol del lider como mentor</v>
      </c>
      <c r="I668">
        <f>VLOOKUP(H668,'Informe 2025'!$C$6:$M$166,11,FALSE)</f>
        <v>16</v>
      </c>
    </row>
    <row r="669" spans="1:9" ht="15.75" x14ac:dyDescent="0.25">
      <c r="A669" s="2">
        <v>53</v>
      </c>
      <c r="B669" t="str">
        <f>VLOOKUP(A669,'Informe 2025'!$1:$1048576,2,FALSE)</f>
        <v>JULIO</v>
      </c>
      <c r="C669" s="31" t="s">
        <v>397</v>
      </c>
      <c r="D669" s="20" t="str">
        <f>VLOOKUP(C669,ID!$1:$1048576,4,FALSE)</f>
        <v>101337</v>
      </c>
      <c r="E669" s="20" t="str">
        <f>VLOOKUP(C669,ID!$1:$1048576,3,FALSE)</f>
        <v xml:space="preserve"> CHRISTIAN FERNANDO</v>
      </c>
      <c r="F669" s="20" t="str">
        <f>VLOOKUP(C669,ID!$1:$1048576,2,FALSE)</f>
        <v>LIRA GONZALEZ</v>
      </c>
      <c r="G669" s="2" t="str">
        <f>VLOOKUP(D669,CORREOS!$A$2:$B$570,2,FALSE)</f>
        <v>CHRISTIAN.LIRA@CL.LUCKIA.COM</v>
      </c>
      <c r="H669" s="24" t="str">
        <f>VLOOKUP(A669,'Informe 2025'!$A$5:$C$164,3,FALSE)</f>
        <v>Rol del lider como mentor</v>
      </c>
      <c r="I669">
        <f>VLOOKUP(H669,'Informe 2025'!$C$6:$M$166,11,FALSE)</f>
        <v>16</v>
      </c>
    </row>
    <row r="670" spans="1:9" ht="15.75" x14ac:dyDescent="0.25">
      <c r="A670" s="2">
        <v>53</v>
      </c>
      <c r="B670" t="str">
        <f>VLOOKUP(A670,'Informe 2025'!$1:$1048576,2,FALSE)</f>
        <v>JULIO</v>
      </c>
      <c r="C670" s="31" t="s">
        <v>390</v>
      </c>
      <c r="D670" s="20" t="str">
        <f>VLOOKUP(C670,ID!$1:$1048576,4,FALSE)</f>
        <v>102642</v>
      </c>
      <c r="E670" s="20" t="str">
        <f>VLOOKUP(C670,ID!$1:$1048576,3,FALSE)</f>
        <v xml:space="preserve"> JOSE LUIS</v>
      </c>
      <c r="F670" s="20" t="str">
        <f>VLOOKUP(C670,ID!$1:$1048576,2,FALSE)</f>
        <v>JIMENEZ VILLALOBOS</v>
      </c>
      <c r="G670" s="2" t="str">
        <f>VLOOKUP(D670,CORREOS!$A$2:$B$570,2,FALSE)</f>
        <v>JJVILLALOBOS@ANTAYHOTELES.CL</v>
      </c>
      <c r="H670" s="24" t="str">
        <f>VLOOKUP(A670,'Informe 2025'!$A$5:$C$164,3,FALSE)</f>
        <v>Rol del lider como mentor</v>
      </c>
      <c r="I670">
        <f>VLOOKUP(H670,'Informe 2025'!$C$6:$M$166,11,FALSE)</f>
        <v>16</v>
      </c>
    </row>
    <row r="671" spans="1:9" ht="15.75" x14ac:dyDescent="0.25">
      <c r="A671" s="2">
        <v>53</v>
      </c>
      <c r="B671" t="str">
        <f>VLOOKUP(A671,'Informe 2025'!$1:$1048576,2,FALSE)</f>
        <v>JULIO</v>
      </c>
      <c r="C671" s="31" t="s">
        <v>269</v>
      </c>
      <c r="D671" s="20" t="str">
        <f>VLOOKUP(C671,ID!$1:$1048576,4,FALSE)</f>
        <v>101662</v>
      </c>
      <c r="E671" s="20" t="str">
        <f>VLOOKUP(C671,ID!$1:$1048576,3,FALSE)</f>
        <v xml:space="preserve"> CAROLINA ANDREA</v>
      </c>
      <c r="F671" s="20" t="str">
        <f>VLOOKUP(C671,ID!$1:$1048576,2,FALSE)</f>
        <v>ARIAS AEDO</v>
      </c>
      <c r="G671" s="2" t="str">
        <f>VLOOKUP(D671,CORREOS!$A$2:$B$570,2,FALSE)</f>
        <v>CAROLINAANDREA.ARIAS@ANTAYHOTELES.CL</v>
      </c>
      <c r="H671" s="24" t="str">
        <f>VLOOKUP(A671,'Informe 2025'!$A$5:$C$164,3,FALSE)</f>
        <v>Rol del lider como mentor</v>
      </c>
      <c r="I671">
        <f>VLOOKUP(H671,'Informe 2025'!$C$6:$M$166,11,FALSE)</f>
        <v>16</v>
      </c>
    </row>
    <row r="672" spans="1:9" ht="15.75" x14ac:dyDescent="0.25">
      <c r="A672" s="2">
        <v>53</v>
      </c>
      <c r="B672" t="str">
        <f>VLOOKUP(A672,'Informe 2025'!$1:$1048576,2,FALSE)</f>
        <v>JULIO</v>
      </c>
      <c r="C672" s="31" t="s">
        <v>460</v>
      </c>
      <c r="D672" s="20" t="str">
        <f>VLOOKUP(C672,ID!$1:$1048576,4,FALSE)</f>
        <v>101402</v>
      </c>
      <c r="E672" s="20" t="str">
        <f>VLOOKUP(C672,ID!$1:$1048576,3,FALSE)</f>
        <v xml:space="preserve"> ALVARO ANTONIO</v>
      </c>
      <c r="F672" s="20" t="str">
        <f>VLOOKUP(C672,ID!$1:$1048576,2,FALSE)</f>
        <v>PEREZ SALAZAR</v>
      </c>
      <c r="G672" s="2" t="str">
        <f>VLOOKUP(D672,CORREOS!$A$2:$B$570,2,FALSE)</f>
        <v>ALVAROANTONIO.PEREZ@CL.LUCKIA.COM</v>
      </c>
      <c r="H672" s="24" t="str">
        <f>VLOOKUP(A672,'Informe 2025'!$A$5:$C$164,3,FALSE)</f>
        <v>Rol del lider como mentor</v>
      </c>
      <c r="I672">
        <f>VLOOKUP(H672,'Informe 2025'!$C$6:$M$166,11,FALSE)</f>
        <v>16</v>
      </c>
    </row>
    <row r="673" spans="1:9" ht="15.75" x14ac:dyDescent="0.25">
      <c r="A673" s="2">
        <v>53</v>
      </c>
      <c r="B673" t="str">
        <f>VLOOKUP(A673,'Informe 2025'!$1:$1048576,2,FALSE)</f>
        <v>JULIO</v>
      </c>
      <c r="C673" s="31" t="s">
        <v>505</v>
      </c>
      <c r="D673" s="20" t="str">
        <f>VLOOKUP(C673,ID!$1:$1048576,4,FALSE)</f>
        <v>101331</v>
      </c>
      <c r="E673" s="20" t="str">
        <f>VLOOKUP(C673,ID!$1:$1048576,3,FALSE)</f>
        <v xml:space="preserve"> CHRISTIAN OLIVER</v>
      </c>
      <c r="F673" s="20" t="str">
        <f>VLOOKUP(C673,ID!$1:$1048576,2,FALSE)</f>
        <v>SILVA CAMPOS</v>
      </c>
      <c r="G673" s="2" t="str">
        <f>VLOOKUP(D673,CORREOS!$A$2:$B$570,2,FALSE)</f>
        <v>CHRISTIANOLIVER.SILVA@CL.LUCKIA.COM</v>
      </c>
      <c r="H673" s="24" t="str">
        <f>VLOOKUP(A673,'Informe 2025'!$A$5:$C$164,3,FALSE)</f>
        <v>Rol del lider como mentor</v>
      </c>
      <c r="I673">
        <f>VLOOKUP(H673,'Informe 2025'!$C$6:$M$166,11,FALSE)</f>
        <v>16</v>
      </c>
    </row>
    <row r="674" spans="1:9" ht="15.75" x14ac:dyDescent="0.25">
      <c r="A674" s="2">
        <v>53</v>
      </c>
      <c r="B674" t="str">
        <f>VLOOKUP(A674,'Informe 2025'!$1:$1048576,2,FALSE)</f>
        <v>JULIO</v>
      </c>
      <c r="C674" s="31" t="s">
        <v>450</v>
      </c>
      <c r="D674" s="20" t="str">
        <f>VLOOKUP(C674,ID!$1:$1048576,4,FALSE)</f>
        <v>101327</v>
      </c>
      <c r="E674" s="20" t="str">
        <f>VLOOKUP(C674,ID!$1:$1048576,3,FALSE)</f>
        <v xml:space="preserve"> JOSE ARTURO</v>
      </c>
      <c r="F674" s="20" t="str">
        <f>VLOOKUP(C674,ID!$1:$1048576,2,FALSE)</f>
        <v>PADILLA LAZARO</v>
      </c>
      <c r="G674" s="2" t="str">
        <f>VLOOKUP(D674,CORREOS!$A$2:$B$570,2,FALSE)</f>
        <v>JOSE.PADILLA@CL.LUCKIA.COM</v>
      </c>
      <c r="H674" s="24" t="str">
        <f>VLOOKUP(A674,'Informe 2025'!$A$5:$C$164,3,FALSE)</f>
        <v>Rol del lider como mentor</v>
      </c>
      <c r="I674">
        <f>VLOOKUP(H674,'Informe 2025'!$C$6:$M$166,11,FALSE)</f>
        <v>16</v>
      </c>
    </row>
    <row r="675" spans="1:9" ht="15.75" x14ac:dyDescent="0.25">
      <c r="A675" s="2">
        <v>53</v>
      </c>
      <c r="B675" t="str">
        <f>VLOOKUP(A675,'Informe 2025'!$1:$1048576,2,FALSE)</f>
        <v>JULIO</v>
      </c>
      <c r="C675" s="31" t="s">
        <v>262</v>
      </c>
      <c r="D675" s="20" t="str">
        <f>VLOOKUP(C675,ID!$1:$1048576,4,FALSE)</f>
        <v>101555</v>
      </c>
      <c r="E675" s="20" t="str">
        <f>VLOOKUP(C675,ID!$1:$1048576,3,FALSE)</f>
        <v xml:space="preserve"> VICTORIA MACARENA</v>
      </c>
      <c r="F675" s="20" t="str">
        <f>VLOOKUP(C675,ID!$1:$1048576,2,FALSE)</f>
        <v>ARANIBAR BRIONES</v>
      </c>
      <c r="G675" s="2" t="str">
        <f>VLOOKUP(D675,CORREOS!$A$2:$B$570,2,FALSE)</f>
        <v>VICTORIAMACARENA.ARANIBAR@CL.LUCKIA.COM</v>
      </c>
      <c r="H675" s="24" t="str">
        <f>VLOOKUP(A675,'Informe 2025'!$A$5:$C$164,3,FALSE)</f>
        <v>Rol del lider como mentor</v>
      </c>
      <c r="I675">
        <f>VLOOKUP(H675,'Informe 2025'!$C$6:$M$166,11,FALSE)</f>
        <v>16</v>
      </c>
    </row>
    <row r="676" spans="1:9" ht="15.75" x14ac:dyDescent="0.25">
      <c r="A676" s="2">
        <v>53</v>
      </c>
      <c r="B676" t="str">
        <f>VLOOKUP(A676,'Informe 2025'!$1:$1048576,2,FALSE)</f>
        <v>JULIO</v>
      </c>
      <c r="C676" s="31" t="s">
        <v>360</v>
      </c>
      <c r="D676" s="20" t="str">
        <f>VLOOKUP(C676,ID!$1:$1048576,4,FALSE)</f>
        <v>100753</v>
      </c>
      <c r="E676" s="20" t="str">
        <f>VLOOKUP(C676,ID!$1:$1048576,3,FALSE)</f>
        <v xml:space="preserve"> DIEGO ANTONIO</v>
      </c>
      <c r="F676" s="20" t="str">
        <f>VLOOKUP(C676,ID!$1:$1048576,2,FALSE)</f>
        <v>GODOY PEÑA</v>
      </c>
      <c r="G676" s="2" t="str">
        <f>VLOOKUP(D676,CORREOS!$A$2:$B$570,2,FALSE)</f>
        <v>DIEGO.GODOY@CL.LUCKIA.COM</v>
      </c>
      <c r="H676" s="24" t="str">
        <f>VLOOKUP(A676,'Informe 2025'!$A$5:$C$164,3,FALSE)</f>
        <v>Rol del lider como mentor</v>
      </c>
      <c r="I676">
        <f>VLOOKUP(H676,'Informe 2025'!$C$6:$M$166,11,FALSE)</f>
        <v>16</v>
      </c>
    </row>
    <row r="677" spans="1:9" ht="15.75" x14ac:dyDescent="0.25">
      <c r="A677" s="2">
        <v>53</v>
      </c>
      <c r="B677" t="str">
        <f>VLOOKUP(A677,'Informe 2025'!$1:$1048576,2,FALSE)</f>
        <v>JULIO</v>
      </c>
      <c r="C677" s="31" t="s">
        <v>259</v>
      </c>
      <c r="D677" s="20" t="str">
        <f>VLOOKUP(C677,ID!$1:$1048576,4,FALSE)</f>
        <v>101768</v>
      </c>
      <c r="E677" s="20" t="str">
        <f>VLOOKUP(C677,ID!$1:$1048576,3,FALSE)</f>
        <v xml:space="preserve"> GONZALO EDUARDO</v>
      </c>
      <c r="F677" s="20" t="str">
        <f>VLOOKUP(C677,ID!$1:$1048576,2,FALSE)</f>
        <v>ANTEZANA POBLETE</v>
      </c>
      <c r="G677" s="2" t="str">
        <f>VLOOKUP(D677,CORREOS!$A$2:$B$570,2,FALSE)</f>
        <v>GANTEZANA@ANTAYHOTELES.CL</v>
      </c>
      <c r="H677" s="24" t="str">
        <f>VLOOKUP(A677,'Informe 2025'!$A$5:$C$164,3,FALSE)</f>
        <v>Rol del lider como mentor</v>
      </c>
      <c r="I677">
        <f>VLOOKUP(H677,'Informe 2025'!$C$6:$M$166,11,FALSE)</f>
        <v>16</v>
      </c>
    </row>
    <row r="678" spans="1:9" ht="15.75" x14ac:dyDescent="0.25">
      <c r="A678" s="2">
        <v>53</v>
      </c>
      <c r="B678" t="str">
        <f>VLOOKUP(A678,'Informe 2025'!$1:$1048576,2,FALSE)</f>
        <v>JULIO</v>
      </c>
      <c r="C678" s="31" t="s">
        <v>507</v>
      </c>
      <c r="D678" s="20" t="str">
        <f>VLOOKUP(C678,ID!$1:$1048576,4,FALSE)</f>
        <v>101892</v>
      </c>
      <c r="E678" s="20" t="str">
        <f>VLOOKUP(C678,ID!$1:$1048576,3,FALSE)</f>
        <v xml:space="preserve"> ALEJANDRO LUIS</v>
      </c>
      <c r="F678" s="20" t="str">
        <f>VLOOKUP(C678,ID!$1:$1048576,2,FALSE)</f>
        <v>SOLIS AGUIRRE</v>
      </c>
      <c r="G678" s="2" t="str">
        <f>VLOOKUP(D678,CORREOS!$A$2:$B$570,2,FALSE)</f>
        <v>ASOLIS@ANTAYHOTELES.CL</v>
      </c>
      <c r="H678" s="24" t="str">
        <f>VLOOKUP(A678,'Informe 2025'!$A$5:$C$164,3,FALSE)</f>
        <v>Rol del lider como mentor</v>
      </c>
      <c r="I678">
        <f>VLOOKUP(H678,'Informe 2025'!$C$6:$M$166,11,FALSE)</f>
        <v>16</v>
      </c>
    </row>
    <row r="679" spans="1:9" ht="15.75" x14ac:dyDescent="0.25">
      <c r="A679" s="2">
        <v>53</v>
      </c>
      <c r="B679" t="str">
        <f>VLOOKUP(A679,'Informe 2025'!$1:$1048576,2,FALSE)</f>
        <v>JULIO</v>
      </c>
      <c r="C679" s="31" t="s">
        <v>452</v>
      </c>
      <c r="D679" s="20" t="str">
        <f>VLOOKUP(C679,ID!$1:$1048576,4,FALSE)</f>
        <v>101886</v>
      </c>
      <c r="E679" s="20" t="str">
        <f>VLOOKUP(C679,ID!$1:$1048576,3,FALSE)</f>
        <v xml:space="preserve"> FERNANDO IVAN</v>
      </c>
      <c r="F679" s="20" t="str">
        <f>VLOOKUP(C679,ID!$1:$1048576,2,FALSE)</f>
        <v>PALMA QUIMPER</v>
      </c>
      <c r="G679" s="2" t="str">
        <f>VLOOKUP(D679,CORREOS!$A$2:$B$570,2,FALSE)</f>
        <v>FPALMA@CL.LUCKIA.COM</v>
      </c>
      <c r="H679" s="24" t="str">
        <f>VLOOKUP(A679,'Informe 2025'!$A$5:$C$164,3,FALSE)</f>
        <v>Rol del lider como mentor</v>
      </c>
      <c r="I679">
        <f>VLOOKUP(H679,'Informe 2025'!$C$6:$M$166,11,FALSE)</f>
        <v>16</v>
      </c>
    </row>
    <row r="680" spans="1:9" ht="15.75" x14ac:dyDescent="0.25">
      <c r="A680" s="2">
        <v>53</v>
      </c>
      <c r="B680" t="str">
        <f>VLOOKUP(A680,'Informe 2025'!$1:$1048576,2,FALSE)</f>
        <v>JULIO</v>
      </c>
      <c r="C680" s="31" t="s">
        <v>455</v>
      </c>
      <c r="D680" s="20" t="str">
        <f>VLOOKUP(C680,ID!$1:$1048576,4,FALSE)</f>
        <v>101809</v>
      </c>
      <c r="E680" s="20" t="str">
        <f>VLOOKUP(C680,ID!$1:$1048576,3,FALSE)</f>
        <v xml:space="preserve"> ARIEL RODRIGO</v>
      </c>
      <c r="F680" s="20" t="str">
        <f>VLOOKUP(C680,ID!$1:$1048576,2,FALSE)</f>
        <v>PERALTA CASTILLO</v>
      </c>
      <c r="G680" s="2" t="str">
        <f>VLOOKUP(D680,CORREOS!$A$2:$B$570,2,FALSE)</f>
        <v>APERALTA@CL.LUCKIA.COM</v>
      </c>
      <c r="H680" s="24" t="str">
        <f>VLOOKUP(A680,'Informe 2025'!$A$5:$C$164,3,FALSE)</f>
        <v>Rol del lider como mentor</v>
      </c>
      <c r="I680">
        <f>VLOOKUP(H680,'Informe 2025'!$C$6:$M$166,11,FALSE)</f>
        <v>16</v>
      </c>
    </row>
    <row r="681" spans="1:9" ht="15.75" x14ac:dyDescent="0.25">
      <c r="A681" s="2">
        <v>53</v>
      </c>
      <c r="B681" t="str">
        <f>VLOOKUP(A681,'Informe 2025'!$1:$1048576,2,FALSE)</f>
        <v>JULIO</v>
      </c>
      <c r="C681" s="31" t="s">
        <v>271</v>
      </c>
      <c r="D681" s="20" t="str">
        <f>VLOOKUP(C681,ID!$1:$1048576,4,FALSE)</f>
        <v>102903</v>
      </c>
      <c r="E681" s="20" t="str">
        <f>VLOOKUP(C681,ID!$1:$1048576,3,FALSE)</f>
        <v xml:space="preserve"> KEVIN MARCELO</v>
      </c>
      <c r="F681" s="20" t="str">
        <f>VLOOKUP(C681,ID!$1:$1048576,2,FALSE)</f>
        <v>AROS CASTRO</v>
      </c>
      <c r="G681" s="2" t="str">
        <f>VLOOKUP(D681,CORREOS!$A$2:$B$570,2,FALSE)</f>
        <v>KAROS@ANTAYHOTELES.CL</v>
      </c>
      <c r="H681" s="24" t="str">
        <f>VLOOKUP(A681,'Informe 2025'!$A$5:$C$164,3,FALSE)</f>
        <v>Rol del lider como mentor</v>
      </c>
      <c r="I681">
        <f>VLOOKUP(H681,'Informe 2025'!$C$6:$M$166,11,FALSE)</f>
        <v>16</v>
      </c>
    </row>
    <row r="682" spans="1:9" ht="15.75" x14ac:dyDescent="0.25">
      <c r="A682" s="2">
        <v>53</v>
      </c>
      <c r="B682" t="str">
        <f>VLOOKUP(A682,'Informe 2025'!$1:$1048576,2,FALSE)</f>
        <v>JULIO</v>
      </c>
      <c r="C682" s="31" t="s">
        <v>356</v>
      </c>
      <c r="D682" s="20" t="str">
        <f>VLOOKUP(C682,ID!$1:$1048576,4,FALSE)</f>
        <v>101587</v>
      </c>
      <c r="E682" s="20" t="str">
        <f>VLOOKUP(C682,ID!$1:$1048576,3,FALSE)</f>
        <v xml:space="preserve"> BERNARDO ANTONIO</v>
      </c>
      <c r="F682" s="20" t="str">
        <f>VLOOKUP(C682,ID!$1:$1048576,2,FALSE)</f>
        <v>GARRIDO ANTINAO</v>
      </c>
      <c r="G682" s="2" t="str">
        <f>VLOOKUP(D682,CORREOS!$A$2:$B$570,2,FALSE)</f>
        <v>BERNARDOANTONIO.GARRIDO@CL.LUCKIA.COM</v>
      </c>
      <c r="H682" s="24" t="str">
        <f>VLOOKUP(A682,'Informe 2025'!$A$5:$C$164,3,FALSE)</f>
        <v>Rol del lider como mentor</v>
      </c>
      <c r="I682">
        <f>VLOOKUP(H682,'Informe 2025'!$C$6:$M$166,11,FALSE)</f>
        <v>16</v>
      </c>
    </row>
    <row r="683" spans="1:9" ht="15.75" x14ac:dyDescent="0.25">
      <c r="A683" s="2">
        <v>53</v>
      </c>
      <c r="B683" t="str">
        <f>VLOOKUP(A683,'Informe 2025'!$1:$1048576,2,FALSE)</f>
        <v>JULIO</v>
      </c>
      <c r="C683" s="31" t="s">
        <v>300</v>
      </c>
      <c r="D683" s="20" t="str">
        <f>VLOOKUP(C683,ID!$1:$1048576,4,FALSE)</f>
        <v>101568</v>
      </c>
      <c r="E683" s="20" t="str">
        <f>VLOOKUP(C683,ID!$1:$1048576,3,FALSE)</f>
        <v xml:space="preserve"> FERNANDA BEATRIZ</v>
      </c>
      <c r="F683" s="20" t="str">
        <f>VLOOKUP(C683,ID!$1:$1048576,2,FALSE)</f>
        <v>CARVAJAL MEDINA</v>
      </c>
      <c r="G683" s="2" t="str">
        <f>VLOOKUP(D683,CORREOS!$A$2:$B$570,2,FALSE)</f>
        <v>FERNANDABEATRIZ.CARVAJAL@ANTAYHOTELES.CL</v>
      </c>
      <c r="H683" s="24" t="str">
        <f>VLOOKUP(A683,'Informe 2025'!$A$5:$C$164,3,FALSE)</f>
        <v>Rol del lider como mentor</v>
      </c>
      <c r="I683">
        <f>VLOOKUP(H683,'Informe 2025'!$C$6:$M$166,11,FALSE)</f>
        <v>16</v>
      </c>
    </row>
    <row r="684" spans="1:9" ht="15.75" x14ac:dyDescent="0.25">
      <c r="A684" s="2">
        <v>53</v>
      </c>
      <c r="B684" t="str">
        <f>VLOOKUP(A684,'Informe 2025'!$1:$1048576,2,FALSE)</f>
        <v>JULIO</v>
      </c>
      <c r="C684" s="31" t="s">
        <v>344</v>
      </c>
      <c r="D684" s="20" t="str">
        <f>VLOOKUP(C684,ID!$1:$1048576,4,FALSE)</f>
        <v>102787</v>
      </c>
      <c r="E684" s="20" t="str">
        <f>VLOOKUP(C684,ID!$1:$1048576,3,FALSE)</f>
        <v xml:space="preserve"> KARINA PATRICIA</v>
      </c>
      <c r="F684" s="20" t="str">
        <f>VLOOKUP(C684,ID!$1:$1048576,2,FALSE)</f>
        <v>FLORES MENDOZA</v>
      </c>
      <c r="G684" s="2" t="str">
        <f>VLOOKUP(D684,CORREOS!$A$2:$B$570,2,FALSE)</f>
        <v>KFMENDOZA@ANTAYHOTELES.CL</v>
      </c>
      <c r="H684" s="24" t="str">
        <f>VLOOKUP(A684,'Informe 2025'!$A$5:$C$164,3,FALSE)</f>
        <v>Rol del lider como mentor</v>
      </c>
      <c r="I684">
        <f>VLOOKUP(H684,'Informe 2025'!$C$6:$M$166,11,FALSE)</f>
        <v>16</v>
      </c>
    </row>
    <row r="685" spans="1:9" ht="15.75" x14ac:dyDescent="0.25">
      <c r="A685" s="2">
        <v>53</v>
      </c>
      <c r="B685" t="str">
        <f>VLOOKUP(A685,'Informe 2025'!$1:$1048576,2,FALSE)</f>
        <v>JULIO</v>
      </c>
      <c r="C685" s="31" t="s">
        <v>297</v>
      </c>
      <c r="D685" s="20" t="str">
        <f>VLOOKUP(C685,ID!$1:$1048576,4,FALSE)</f>
        <v>101535</v>
      </c>
      <c r="E685" s="20" t="str">
        <f>VLOOKUP(C685,ID!$1:$1048576,3,FALSE)</f>
        <v xml:space="preserve"> BETZABET ALEJANDRA</v>
      </c>
      <c r="F685" s="20" t="str">
        <f>VLOOKUP(C685,ID!$1:$1048576,2,FALSE)</f>
        <v>CARREÑO PIZARRA</v>
      </c>
      <c r="G685" s="2" t="str">
        <f>VLOOKUP(D685,CORREOS!$A$2:$B$570,2,FALSE)</f>
        <v>BETZABETALEJANDRA.CARRENO@ANTAYHOTELES.CL</v>
      </c>
      <c r="H685" s="24" t="str">
        <f>VLOOKUP(A685,'Informe 2025'!$A$5:$C$164,3,FALSE)</f>
        <v>Rol del lider como mentor</v>
      </c>
      <c r="I685">
        <f>VLOOKUP(H685,'Informe 2025'!$C$6:$M$166,11,FALSE)</f>
        <v>16</v>
      </c>
    </row>
    <row r="686" spans="1:9" ht="15.75" x14ac:dyDescent="0.25">
      <c r="A686" s="2">
        <v>53</v>
      </c>
      <c r="B686" t="str">
        <f>VLOOKUP(A686,'Informe 2025'!$1:$1048576,2,FALSE)</f>
        <v>JULIO</v>
      </c>
      <c r="C686" s="31" t="s">
        <v>318</v>
      </c>
      <c r="D686" s="20" t="str">
        <f>VLOOKUP(C686,ID!$1:$1048576,4,FALSE)</f>
        <v>102675</v>
      </c>
      <c r="E686" s="20" t="str">
        <f>VLOOKUP(C686,ID!$1:$1048576,3,FALSE)</f>
        <v xml:space="preserve"> CYNTHIA</v>
      </c>
      <c r="F686" s="20" t="str">
        <f>VLOOKUP(C686,ID!$1:$1048576,2,FALSE)</f>
        <v>CONTRERAS SOLA</v>
      </c>
      <c r="G686" s="2" t="str">
        <f>VLOOKUP(D686,CORREOS!$A$2:$B$570,2,FALSE)</f>
        <v>CCONTRERAS@ANTAYHOTELES.CL</v>
      </c>
      <c r="H686" s="24" t="str">
        <f>VLOOKUP(A686,'Informe 2025'!$A$5:$C$164,3,FALSE)</f>
        <v>Rol del lider como mentor</v>
      </c>
      <c r="I686">
        <f>VLOOKUP(H686,'Informe 2025'!$C$6:$M$166,11,FALSE)</f>
        <v>16</v>
      </c>
    </row>
    <row r="687" spans="1:9" ht="15.75" x14ac:dyDescent="0.25">
      <c r="A687" s="2">
        <v>53</v>
      </c>
      <c r="B687" t="str">
        <f>VLOOKUP(A687,'Informe 2025'!$1:$1048576,2,FALSE)</f>
        <v>JULIO</v>
      </c>
      <c r="C687" s="31" t="s">
        <v>1916</v>
      </c>
      <c r="D687" s="20" t="str">
        <f>VLOOKUP(C687,ID!$1:$1048576,4,FALSE)</f>
        <v>102121</v>
      </c>
      <c r="E687" s="20" t="str">
        <f>VLOOKUP(C687,ID!$1:$1048576,3,FALSE)</f>
        <v xml:space="preserve"> EMMA JOANNE</v>
      </c>
      <c r="F687" s="20" t="str">
        <f>VLOOKUP(C687,ID!$1:$1048576,2,FALSE)</f>
        <v>VASQUEZ CASANOBA</v>
      </c>
      <c r="G687" s="2" t="str">
        <f>VLOOKUP(D687,CORREOS!$A$2:$B$570,2,FALSE)</f>
        <v>EVCASANOBA@CL.LUCKIA.COM</v>
      </c>
      <c r="H687" s="24" t="str">
        <f>VLOOKUP(A687,'Informe 2025'!$A$5:$C$164,3,FALSE)</f>
        <v>Rol del lider como mentor</v>
      </c>
      <c r="I687">
        <f>VLOOKUP(H687,'Informe 2025'!$C$6:$M$166,11,FALSE)</f>
        <v>16</v>
      </c>
    </row>
    <row r="688" spans="1:9" ht="15.75" x14ac:dyDescent="0.25">
      <c r="A688" s="2">
        <v>53</v>
      </c>
      <c r="B688" t="str">
        <f>VLOOKUP(A688,'Informe 2025'!$1:$1048576,2,FALSE)</f>
        <v>JULIO</v>
      </c>
      <c r="C688" s="31" t="s">
        <v>437</v>
      </c>
      <c r="D688" s="20" t="str">
        <f>VLOOKUP(C688,ID!$1:$1048576,4,FALSE)</f>
        <v>102382</v>
      </c>
      <c r="E688" s="20" t="str">
        <f>VLOOKUP(C688,ID!$1:$1048576,3,FALSE)</f>
        <v xml:space="preserve"> NATALIA ISABEL</v>
      </c>
      <c r="F688" s="20" t="str">
        <f>VLOOKUP(C688,ID!$1:$1048576,2,FALSE)</f>
        <v>NOVOA AGUILERA</v>
      </c>
      <c r="G688" s="2" t="str">
        <f>VLOOKUP(D688,CORREOS!$A$2:$B$570,2,FALSE)</f>
        <v>NNOVOA@ANTAYHOTELES.CL</v>
      </c>
      <c r="H688" s="24" t="str">
        <f>VLOOKUP(A688,'Informe 2025'!$A$5:$C$164,3,FALSE)</f>
        <v>Rol del lider como mentor</v>
      </c>
      <c r="I688">
        <f>VLOOKUP(H688,'Informe 2025'!$C$6:$M$166,11,FALSE)</f>
        <v>16</v>
      </c>
    </row>
    <row r="689" spans="1:9" ht="15.75" x14ac:dyDescent="0.25">
      <c r="A689" s="2">
        <v>53</v>
      </c>
      <c r="B689" t="str">
        <f>VLOOKUP(A689,'Informe 2025'!$1:$1048576,2,FALSE)</f>
        <v>JULIO</v>
      </c>
      <c r="C689" s="31" t="s">
        <v>514</v>
      </c>
      <c r="D689" s="20" t="str">
        <f>VLOOKUP(C689,ID!$1:$1048576,4,FALSE)</f>
        <v>101104</v>
      </c>
      <c r="E689" s="20" t="str">
        <f>VLOOKUP(C689,ID!$1:$1048576,3,FALSE)</f>
        <v xml:space="preserve"> LEANDRO CARLOS</v>
      </c>
      <c r="F689" s="20" t="str">
        <f>VLOOKUP(C689,ID!$1:$1048576,2,FALSE)</f>
        <v>TORRES SALAS</v>
      </c>
      <c r="G689" s="2" t="str">
        <f>VLOOKUP(D689,CORREOS!$A$2:$B$570,2,FALSE)</f>
        <v>LEANDROCARLOS.TORRES@ANTAYHOTELES.CL</v>
      </c>
      <c r="H689" s="24" t="str">
        <f>VLOOKUP(A689,'Informe 2025'!$A$5:$C$164,3,FALSE)</f>
        <v>Rol del lider como mentor</v>
      </c>
      <c r="I689">
        <f>VLOOKUP(H689,'Informe 2025'!$C$6:$M$166,11,FALSE)</f>
        <v>16</v>
      </c>
    </row>
    <row r="690" spans="1:9" ht="15.75" x14ac:dyDescent="0.25">
      <c r="A690" s="2">
        <v>53</v>
      </c>
      <c r="B690" t="str">
        <f>VLOOKUP(A690,'Informe 2025'!$1:$1048576,2,FALSE)</f>
        <v>JULIO</v>
      </c>
      <c r="C690" s="31" t="s">
        <v>498</v>
      </c>
      <c r="D690" s="20" t="str">
        <f>VLOOKUP(C690,ID!$1:$1048576,4,FALSE)</f>
        <v>101825</v>
      </c>
      <c r="E690" s="20" t="str">
        <f>VLOOKUP(C690,ID!$1:$1048576,3,FALSE)</f>
        <v xml:space="preserve"> GISSELA ANDREA</v>
      </c>
      <c r="F690" s="20" t="str">
        <f>VLOOKUP(C690,ID!$1:$1048576,2,FALSE)</f>
        <v>SANCHEZ QUISPE</v>
      </c>
      <c r="G690" s="2" t="str">
        <f>VLOOKUP(D690,CORREOS!$A$2:$B$570,2,FALSE)</f>
        <v>GSQUISPE@CL.LUCKIA.COM</v>
      </c>
      <c r="H690" s="24" t="str">
        <f>VLOOKUP(A690,'Informe 2025'!$A$5:$C$164,3,FALSE)</f>
        <v>Rol del lider como mentor</v>
      </c>
      <c r="I690">
        <f>VLOOKUP(H690,'Informe 2025'!$C$6:$M$166,11,FALSE)</f>
        <v>16</v>
      </c>
    </row>
    <row r="691" spans="1:9" ht="15.75" x14ac:dyDescent="0.25">
      <c r="A691" s="2">
        <v>53</v>
      </c>
      <c r="B691" t="str">
        <f>VLOOKUP(A691,'Informe 2025'!$1:$1048576,2,FALSE)</f>
        <v>JULIO</v>
      </c>
      <c r="C691" s="31" t="s">
        <v>407</v>
      </c>
      <c r="D691" s="20" t="str">
        <f>VLOOKUP(C691,ID!$1:$1048576,4,FALSE)</f>
        <v>101826</v>
      </c>
      <c r="E691" s="20" t="str">
        <f>VLOOKUP(C691,ID!$1:$1048576,3,FALSE)</f>
        <v xml:space="preserve"> NARELA ALIZON JUDYT</v>
      </c>
      <c r="F691" s="20" t="str">
        <f>VLOOKUP(C691,ID!$1:$1048576,2,FALSE)</f>
        <v>MARINO ALARO</v>
      </c>
      <c r="G691" s="2" t="str">
        <f>VLOOKUP(D691,CORREOS!$A$2:$B$570,2,FALSE)</f>
        <v>NMARINO@CL.LUCKIA.COM</v>
      </c>
      <c r="H691" s="24" t="str">
        <f>VLOOKUP(A691,'Informe 2025'!$A$5:$C$164,3,FALSE)</f>
        <v>Rol del lider como mentor</v>
      </c>
      <c r="I691">
        <f>VLOOKUP(H691,'Informe 2025'!$C$6:$M$166,11,FALSE)</f>
        <v>16</v>
      </c>
    </row>
    <row r="692" spans="1:9" ht="15.75" x14ac:dyDescent="0.25">
      <c r="A692" s="2">
        <v>53</v>
      </c>
      <c r="B692" t="str">
        <f>VLOOKUP(A692,'Informe 2025'!$1:$1048576,2,FALSE)</f>
        <v>JULIO</v>
      </c>
      <c r="C692" s="31" t="s">
        <v>481</v>
      </c>
      <c r="D692" s="20" t="str">
        <f>VLOOKUP(C692,ID!$1:$1048576,4,FALSE)</f>
        <v>101689</v>
      </c>
      <c r="E692" s="20" t="str">
        <f>VLOOKUP(C692,ID!$1:$1048576,3,FALSE)</f>
        <v xml:space="preserve"> LUIS ESTEBAN</v>
      </c>
      <c r="F692" s="20" t="str">
        <f>VLOOKUP(C692,ID!$1:$1048576,2,FALSE)</f>
        <v>RIVERA ALTAMIRANO</v>
      </c>
      <c r="G692" s="2" t="str">
        <f>VLOOKUP(D692,CORREOS!$A$2:$B$570,2,FALSE)</f>
        <v>LUISESTEBAN.RIVERA@CL.LUCKIA.COM</v>
      </c>
      <c r="H692" s="24" t="str">
        <f>VLOOKUP(A692,'Informe 2025'!$A$5:$C$164,3,FALSE)</f>
        <v>Rol del lider como mentor</v>
      </c>
      <c r="I692">
        <f>VLOOKUP(H692,'Informe 2025'!$C$6:$M$166,11,FALSE)</f>
        <v>16</v>
      </c>
    </row>
    <row r="693" spans="1:9" ht="15.75" x14ac:dyDescent="0.25">
      <c r="A693" s="2">
        <v>53</v>
      </c>
      <c r="B693" t="str">
        <f>VLOOKUP(A693,'Informe 2025'!$1:$1048576,2,FALSE)</f>
        <v>JULIO</v>
      </c>
      <c r="C693" s="31" t="s">
        <v>262</v>
      </c>
      <c r="D693" s="20" t="str">
        <f>VLOOKUP(C693,ID!$1:$1048576,4,FALSE)</f>
        <v>101555</v>
      </c>
      <c r="E693" s="20" t="str">
        <f>VLOOKUP(C693,ID!$1:$1048576,3,FALSE)</f>
        <v xml:space="preserve"> VICTORIA MACARENA</v>
      </c>
      <c r="F693" s="20" t="str">
        <f>VLOOKUP(C693,ID!$1:$1048576,2,FALSE)</f>
        <v>ARANIBAR BRIONES</v>
      </c>
      <c r="G693" s="2" t="str">
        <f>VLOOKUP(D693,CORREOS!$A$2:$B$570,2,FALSE)</f>
        <v>VICTORIAMACARENA.ARANIBAR@CL.LUCKIA.COM</v>
      </c>
      <c r="H693" s="24" t="str">
        <f>VLOOKUP(A693,'Informe 2025'!$A$5:$C$164,3,FALSE)</f>
        <v>Rol del lider como mentor</v>
      </c>
      <c r="I693">
        <f>VLOOKUP(H693,'Informe 2025'!$C$6:$M$166,11,FALSE)</f>
        <v>16</v>
      </c>
    </row>
    <row r="694" spans="1:9" ht="15.75" x14ac:dyDescent="0.25">
      <c r="A694" s="2">
        <v>53</v>
      </c>
      <c r="B694" t="str">
        <f>VLOOKUP(A694,'Informe 2025'!$1:$1048576,2,FALSE)</f>
        <v>JULIO</v>
      </c>
      <c r="C694" s="31" t="s">
        <v>395</v>
      </c>
      <c r="D694" s="20" t="str">
        <f>VLOOKUP(C694,ID!$1:$1048576,4,FALSE)</f>
        <v>102063</v>
      </c>
      <c r="E694" s="20" t="str">
        <f>VLOOKUP(C694,ID!$1:$1048576,3,FALSE)</f>
        <v xml:space="preserve"> MICHELLE ANNETTE</v>
      </c>
      <c r="F694" s="20" t="str">
        <f>VLOOKUP(C694,ID!$1:$1048576,2,FALSE)</f>
        <v>LEAL LEYTON</v>
      </c>
      <c r="G694" s="2" t="str">
        <f>VLOOKUP(D694,CORREOS!$A$2:$B$570,2,FALSE)</f>
        <v>MLEAL@CL.LUCKIA.COM</v>
      </c>
      <c r="H694" s="24" t="str">
        <f>VLOOKUP(A694,'Informe 2025'!$A$5:$C$164,3,FALSE)</f>
        <v>Rol del lider como mentor</v>
      </c>
      <c r="I694">
        <f>VLOOKUP(H694,'Informe 2025'!$C$6:$M$166,11,FALSE)</f>
        <v>16</v>
      </c>
    </row>
    <row r="695" spans="1:9" ht="15.75" x14ac:dyDescent="0.25">
      <c r="A695" s="2">
        <v>54</v>
      </c>
      <c r="B695" t="str">
        <f>VLOOKUP(A695,'Informe 2025'!$1:$1048576,2,FALSE)</f>
        <v>JULIO</v>
      </c>
      <c r="C695" s="31" t="s">
        <v>1621</v>
      </c>
      <c r="D695" s="20" t="str">
        <f>VLOOKUP(C695,ID!$1:$1048576,4,FALSE)</f>
        <v>102317</v>
      </c>
      <c r="E695" s="20" t="str">
        <f>VLOOKUP(C695,ID!$1:$1048576,3,FALSE)</f>
        <v xml:space="preserve"> BIANCA DANIELA</v>
      </c>
      <c r="F695" s="20" t="str">
        <f>VLOOKUP(C695,ID!$1:$1048576,2,FALSE)</f>
        <v>AGUILERA JIMENEZ</v>
      </c>
      <c r="G695" s="2" t="e">
        <f>VLOOKUP(D695,CORREOS!$A$2:$B$570,2,FALSE)</f>
        <v>#N/A</v>
      </c>
      <c r="H695" s="24" t="str">
        <f>VLOOKUP(A695,'Informe 2025'!$A$5:$C$164,3,FALSE)</f>
        <v>Formación de asistencia</v>
      </c>
      <c r="I695">
        <f>VLOOKUP(H695,'Informe 2025'!$C$6:$M$166,11,FALSE)</f>
        <v>1</v>
      </c>
    </row>
    <row r="696" spans="1:9" ht="15.75" x14ac:dyDescent="0.25">
      <c r="A696" s="2">
        <v>54</v>
      </c>
      <c r="B696" t="str">
        <f>VLOOKUP(A696,'Informe 2025'!$1:$1048576,2,FALSE)</f>
        <v>JULIO</v>
      </c>
      <c r="C696" s="31" t="s">
        <v>1943</v>
      </c>
      <c r="D696" s="20" t="str">
        <f>VLOOKUP(C696,ID!$1:$1048576,4,FALSE)</f>
        <v>103462</v>
      </c>
      <c r="E696" s="20" t="str">
        <f>VLOOKUP(C696,ID!$1:$1048576,3,FALSE)</f>
        <v xml:space="preserve"> ALEXANDRA SIMONNE</v>
      </c>
      <c r="F696" s="20" t="str">
        <f>VLOOKUP(C696,ID!$1:$1048576,2,FALSE)</f>
        <v>OLAVE SANTIAGO</v>
      </c>
      <c r="G696" s="2" t="e">
        <f>VLOOKUP(D696,CORREOS!$A$2:$B$570,2,FALSE)</f>
        <v>#N/A</v>
      </c>
      <c r="H696" s="24" t="str">
        <f>VLOOKUP(A696,'Informe 2025'!$A$5:$C$164,3,FALSE)</f>
        <v>Formación de asistencia</v>
      </c>
      <c r="I696">
        <f>VLOOKUP(H696,'Informe 2025'!$C$6:$M$166,11,FALSE)</f>
        <v>1</v>
      </c>
    </row>
    <row r="697" spans="1:9" ht="15.75" x14ac:dyDescent="0.25">
      <c r="A697" s="2">
        <v>54</v>
      </c>
      <c r="B697" t="str">
        <f>VLOOKUP(A697,'Informe 2025'!$1:$1048576,2,FALSE)</f>
        <v>JULIO</v>
      </c>
      <c r="C697" s="31" t="s">
        <v>1667</v>
      </c>
      <c r="D697" s="20" t="str">
        <f>VLOOKUP(C697,ID!$1:$1048576,4,FALSE)</f>
        <v>104042</v>
      </c>
      <c r="E697" s="20" t="str">
        <f>VLOOKUP(C697,ID!$1:$1048576,3,FALSE)</f>
        <v xml:space="preserve"> DIEGO IGNACIO</v>
      </c>
      <c r="F697" s="20" t="str">
        <f>VLOOKUP(C697,ID!$1:$1048576,2,FALSE)</f>
        <v>ZEPEDA VALDES</v>
      </c>
      <c r="G697" s="2" t="e">
        <f>VLOOKUP(D697,CORREOS!$A$2:$B$570,2,FALSE)</f>
        <v>#N/A</v>
      </c>
      <c r="H697" s="24" t="str">
        <f>VLOOKUP(A697,'Informe 2025'!$A$5:$C$164,3,FALSE)</f>
        <v>Formación de asistencia</v>
      </c>
      <c r="I697">
        <f>VLOOKUP(H697,'Informe 2025'!$C$6:$M$166,11,FALSE)</f>
        <v>1</v>
      </c>
    </row>
    <row r="698" spans="1:9" ht="15.75" x14ac:dyDescent="0.25">
      <c r="A698" s="2">
        <v>54</v>
      </c>
      <c r="B698" t="str">
        <f>VLOOKUP(A698,'Informe 2025'!$1:$1048576,2,FALSE)</f>
        <v>JULIO</v>
      </c>
      <c r="C698" s="31" t="s">
        <v>1659</v>
      </c>
      <c r="D698" s="20" t="str">
        <f>VLOOKUP(C698,ID!$1:$1048576,4,FALSE)</f>
        <v>104043</v>
      </c>
      <c r="E698" s="20" t="str">
        <f>VLOOKUP(C698,ID!$1:$1048576,3,FALSE)</f>
        <v xml:space="preserve"> GUSTAVO ENRIQUE</v>
      </c>
      <c r="F698" s="20" t="str">
        <f>VLOOKUP(C698,ID!$1:$1048576,2,FALSE)</f>
        <v>PIÑATE ANDUEZA</v>
      </c>
      <c r="G698" s="2" t="e">
        <f>VLOOKUP(D698,CORREOS!$A$2:$B$570,2,FALSE)</f>
        <v>#N/A</v>
      </c>
      <c r="H698" s="24" t="str">
        <f>VLOOKUP(A698,'Informe 2025'!$A$5:$C$164,3,FALSE)</f>
        <v>Formación de asistencia</v>
      </c>
      <c r="I698">
        <f>VLOOKUP(H698,'Informe 2025'!$C$6:$M$166,11,FALSE)</f>
        <v>1</v>
      </c>
    </row>
    <row r="699" spans="1:9" ht="15.75" x14ac:dyDescent="0.25">
      <c r="A699" s="2">
        <v>54</v>
      </c>
      <c r="B699" t="str">
        <f>VLOOKUP(A699,'Informe 2025'!$1:$1048576,2,FALSE)</f>
        <v>JULIO</v>
      </c>
      <c r="C699" s="31" t="s">
        <v>1650</v>
      </c>
      <c r="D699" s="20" t="str">
        <f>VLOOKUP(C699,ID!$1:$1048576,4,FALSE)</f>
        <v>103887</v>
      </c>
      <c r="E699" s="20" t="str">
        <f>VLOOKUP(C699,ID!$1:$1048576,3,FALSE)</f>
        <v xml:space="preserve"> MAURICIO ALEJANDRO</v>
      </c>
      <c r="F699" s="20" t="str">
        <f>VLOOKUP(C699,ID!$1:$1048576,2,FALSE)</f>
        <v>LOPEZ AGUILERA</v>
      </c>
      <c r="G699" s="2" t="e">
        <f>VLOOKUP(D699,CORREOS!$A$2:$B$570,2,FALSE)</f>
        <v>#N/A</v>
      </c>
      <c r="H699" s="24" t="str">
        <f>VLOOKUP(A699,'Informe 2025'!$A$5:$C$164,3,FALSE)</f>
        <v>Formación de asistencia</v>
      </c>
      <c r="I699">
        <f>VLOOKUP(H699,'Informe 2025'!$C$6:$M$166,11,FALSE)</f>
        <v>1</v>
      </c>
    </row>
    <row r="700" spans="1:9" ht="15.75" x14ac:dyDescent="0.25">
      <c r="A700" s="2">
        <v>54</v>
      </c>
      <c r="B700" t="str">
        <f>VLOOKUP(A700,'Informe 2025'!$1:$1048576,2,FALSE)</f>
        <v>JULIO</v>
      </c>
      <c r="C700" s="31" t="s">
        <v>1631</v>
      </c>
      <c r="D700" s="20" t="str">
        <f>VLOOKUP(C700,ID!$1:$1048576,4,FALSE)</f>
        <v>102197</v>
      </c>
      <c r="E700" s="20" t="str">
        <f>VLOOKUP(C700,ID!$1:$1048576,3,FALSE)</f>
        <v xml:space="preserve"> JUAN MAYKOL LUIS</v>
      </c>
      <c r="F700" s="20" t="str">
        <f>VLOOKUP(C700,ID!$1:$1048576,2,FALSE)</f>
        <v>BAEZA COFRÉ</v>
      </c>
      <c r="G700" s="2" t="e">
        <f>VLOOKUP(D700,CORREOS!$A$2:$B$570,2,FALSE)</f>
        <v>#N/A</v>
      </c>
      <c r="H700" s="24" t="str">
        <f>VLOOKUP(A700,'Informe 2025'!$A$5:$C$164,3,FALSE)</f>
        <v>Formación de asistencia</v>
      </c>
      <c r="I700">
        <f>VLOOKUP(H700,'Informe 2025'!$C$6:$M$166,11,FALSE)</f>
        <v>1</v>
      </c>
    </row>
    <row r="701" spans="1:9" ht="15.75" x14ac:dyDescent="0.25">
      <c r="A701" s="2">
        <v>56</v>
      </c>
      <c r="B701" t="str">
        <f>VLOOKUP(A701,'Informe 2025'!$1:$1048576,2,FALSE)</f>
        <v>JULIO</v>
      </c>
      <c r="C701" s="31" t="s">
        <v>290</v>
      </c>
      <c r="D701" s="20" t="str">
        <f>VLOOKUP(C701,ID!$1:$1048576,4,FALSE)</f>
        <v>101522</v>
      </c>
      <c r="E701" s="20" t="str">
        <f>VLOOKUP(C701,ID!$1:$1048576,3,FALSE)</f>
        <v xml:space="preserve"> ADAN MOISES</v>
      </c>
      <c r="F701" s="20" t="str">
        <f>VLOOKUP(C701,ID!$1:$1048576,2,FALSE)</f>
        <v>CARRASCO ANABALON</v>
      </c>
      <c r="G701" s="2" t="str">
        <f>VLOOKUP(D701,CORREOS!$A$2:$B$570,2,FALSE)</f>
        <v>ADANMOISES.CARRASCO@CL.LUCKIA.COM</v>
      </c>
      <c r="H701" s="24" t="str">
        <f>VLOOKUP(A701,'Informe 2025'!$A$5:$C$164,3,FALSE)</f>
        <v>Buenas practicas inclusivas</v>
      </c>
      <c r="I701">
        <f>VLOOKUP(H701,'Informe 2025'!$C$6:$M$166,11,FALSE)</f>
        <v>1</v>
      </c>
    </row>
    <row r="702" spans="1:9" ht="15.75" x14ac:dyDescent="0.25">
      <c r="A702" s="2">
        <v>56</v>
      </c>
      <c r="B702" t="str">
        <f>VLOOKUP(A702,'Informe 2025'!$1:$1048576,2,FALSE)</f>
        <v>JULIO</v>
      </c>
      <c r="C702" s="31" t="s">
        <v>419</v>
      </c>
      <c r="D702" s="20" t="str">
        <f>VLOOKUP(C702,ID!$1:$1048576,4,FALSE)</f>
        <v>103074</v>
      </c>
      <c r="E702" s="20" t="str">
        <f>VLOOKUP(C702,ID!$1:$1048576,3,FALSE)</f>
        <v xml:space="preserve"> JOHANN</v>
      </c>
      <c r="F702" s="20" t="str">
        <f>VLOOKUP(C702,ID!$1:$1048576,2,FALSE)</f>
        <v>MIRANDA VIZA</v>
      </c>
      <c r="G702" s="2" t="str">
        <f>VLOOKUP(D702,CORREOS!$A$2:$B$570,2,FALSE)</f>
        <v>JMVIZA@ANTAYHOTELES.CL</v>
      </c>
      <c r="H702" s="24" t="str">
        <f>VLOOKUP(A702,'Informe 2025'!$A$5:$C$164,3,FALSE)</f>
        <v>Buenas practicas inclusivas</v>
      </c>
      <c r="I702">
        <f>VLOOKUP(H702,'Informe 2025'!$C$6:$M$166,11,FALSE)</f>
        <v>1</v>
      </c>
    </row>
    <row r="703" spans="1:9" ht="15.75" x14ac:dyDescent="0.25">
      <c r="A703" s="2">
        <v>56</v>
      </c>
      <c r="B703" t="str">
        <f>VLOOKUP(A703,'Informe 2025'!$1:$1048576,2,FALSE)</f>
        <v>JULIO</v>
      </c>
      <c r="C703" s="31" t="s">
        <v>514</v>
      </c>
      <c r="D703" s="20" t="str">
        <f>VLOOKUP(C703,ID!$1:$1048576,4,FALSE)</f>
        <v>101104</v>
      </c>
      <c r="E703" s="20" t="str">
        <f>VLOOKUP(C703,ID!$1:$1048576,3,FALSE)</f>
        <v xml:space="preserve"> LEANDRO CARLOS</v>
      </c>
      <c r="F703" s="20" t="str">
        <f>VLOOKUP(C703,ID!$1:$1048576,2,FALSE)</f>
        <v>TORRES SALAS</v>
      </c>
      <c r="G703" s="2" t="str">
        <f>VLOOKUP(D703,CORREOS!$A$2:$B$570,2,FALSE)</f>
        <v>LEANDROCARLOS.TORRES@ANTAYHOTELES.CL</v>
      </c>
      <c r="H703" s="24" t="str">
        <f>VLOOKUP(A703,'Informe 2025'!$A$5:$C$164,3,FALSE)</f>
        <v>Buenas practicas inclusivas</v>
      </c>
      <c r="I703">
        <f>VLOOKUP(H703,'Informe 2025'!$C$6:$M$166,11,FALSE)</f>
        <v>1</v>
      </c>
    </row>
    <row r="704" spans="1:9" ht="15.75" x14ac:dyDescent="0.25">
      <c r="A704" s="2">
        <v>56</v>
      </c>
      <c r="B704" t="str">
        <f>VLOOKUP(A704,'Informe 2025'!$1:$1048576,2,FALSE)</f>
        <v>JULIO</v>
      </c>
      <c r="C704" s="31" t="s">
        <v>437</v>
      </c>
      <c r="D704" s="20" t="str">
        <f>VLOOKUP(C704,ID!$1:$1048576,4,FALSE)</f>
        <v>102382</v>
      </c>
      <c r="E704" s="20" t="str">
        <f>VLOOKUP(C704,ID!$1:$1048576,3,FALSE)</f>
        <v xml:space="preserve"> NATALIA ISABEL</v>
      </c>
      <c r="F704" s="20" t="str">
        <f>VLOOKUP(C704,ID!$1:$1048576,2,FALSE)</f>
        <v>NOVOA AGUILERA</v>
      </c>
      <c r="G704" s="2" t="str">
        <f>VLOOKUP(D704,CORREOS!$A$2:$B$570,2,FALSE)</f>
        <v>NNOVOA@ANTAYHOTELES.CL</v>
      </c>
      <c r="H704" s="24" t="str">
        <f>VLOOKUP(A704,'Informe 2025'!$A$5:$C$164,3,FALSE)</f>
        <v>Buenas practicas inclusivas</v>
      </c>
      <c r="I704">
        <f>VLOOKUP(H704,'Informe 2025'!$C$6:$M$166,11,FALSE)</f>
        <v>1</v>
      </c>
    </row>
    <row r="705" spans="1:9" ht="15.75" x14ac:dyDescent="0.25">
      <c r="A705" s="2">
        <v>56</v>
      </c>
      <c r="B705" t="str">
        <f>VLOOKUP(A705,'Informe 2025'!$1:$1048576,2,FALSE)</f>
        <v>JULIO</v>
      </c>
      <c r="C705" s="31" t="s">
        <v>271</v>
      </c>
      <c r="D705" s="20" t="str">
        <f>VLOOKUP(C705,ID!$1:$1048576,4,FALSE)</f>
        <v>102903</v>
      </c>
      <c r="E705" s="20" t="str">
        <f>VLOOKUP(C705,ID!$1:$1048576,3,FALSE)</f>
        <v xml:space="preserve"> KEVIN MARCELO</v>
      </c>
      <c r="F705" s="20" t="str">
        <f>VLOOKUP(C705,ID!$1:$1048576,2,FALSE)</f>
        <v>AROS CASTRO</v>
      </c>
      <c r="G705" s="2" t="str">
        <f>VLOOKUP(D705,CORREOS!$A$2:$B$570,2,FALSE)</f>
        <v>KAROS@ANTAYHOTELES.CL</v>
      </c>
      <c r="H705" s="24" t="str">
        <f>VLOOKUP(A705,'Informe 2025'!$A$5:$C$164,3,FALSE)</f>
        <v>Buenas practicas inclusivas</v>
      </c>
      <c r="I705">
        <f>VLOOKUP(H705,'Informe 2025'!$C$6:$M$166,11,FALSE)</f>
        <v>1</v>
      </c>
    </row>
    <row r="706" spans="1:9" ht="15.75" x14ac:dyDescent="0.25">
      <c r="A706" s="2">
        <v>56</v>
      </c>
      <c r="B706" t="str">
        <f>VLOOKUP(A706,'Informe 2025'!$1:$1048576,2,FALSE)</f>
        <v>JULIO</v>
      </c>
      <c r="C706" s="31" t="s">
        <v>374</v>
      </c>
      <c r="D706" s="20" t="str">
        <f>VLOOKUP(C706,ID!$1:$1048576,4,FALSE)</f>
        <v>101807</v>
      </c>
      <c r="E706" s="20" t="str">
        <f>VLOOKUP(C706,ID!$1:$1048576,3,FALSE)</f>
        <v xml:space="preserve"> MIGUEL PATRICIO</v>
      </c>
      <c r="F706" s="20" t="str">
        <f>VLOOKUP(C706,ID!$1:$1048576,2,FALSE)</f>
        <v>GONZALEZ TORRES</v>
      </c>
      <c r="G706" s="2" t="str">
        <f>VLOOKUP(D706,CORREOS!$A$2:$B$570,2,FALSE)</f>
        <v>MIGUEL.GONZALEZ@CL.LUCKIA.COM</v>
      </c>
      <c r="H706" s="24" t="str">
        <f>VLOOKUP(A706,'Informe 2025'!$A$5:$C$164,3,FALSE)</f>
        <v>Buenas practicas inclusivas</v>
      </c>
      <c r="I706">
        <f>VLOOKUP(H706,'Informe 2025'!$C$6:$M$166,11,FALSE)</f>
        <v>1</v>
      </c>
    </row>
    <row r="707" spans="1:9" ht="15.75" x14ac:dyDescent="0.25">
      <c r="A707" s="2">
        <v>56</v>
      </c>
      <c r="B707" t="str">
        <f>VLOOKUP(A707,'Informe 2025'!$1:$1048576,2,FALSE)</f>
        <v>JULIO</v>
      </c>
      <c r="C707" s="31" t="s">
        <v>447</v>
      </c>
      <c r="D707" s="20" t="str">
        <f>VLOOKUP(C707,ID!$1:$1048576,4,FALSE)</f>
        <v>100450</v>
      </c>
      <c r="E707" s="20" t="str">
        <f>VLOOKUP(C707,ID!$1:$1048576,3,FALSE)</f>
        <v xml:space="preserve"> OSCAR ANDRES</v>
      </c>
      <c r="F707" s="20" t="str">
        <f>VLOOKUP(C707,ID!$1:$1048576,2,FALSE)</f>
        <v>OSSANDON ALCOTA</v>
      </c>
      <c r="G707" s="2" t="str">
        <f>VLOOKUP(D707,CORREOS!$A$2:$B$570,2,FALSE)</f>
        <v>OSCAR.OSSANDON@ANTAYHOTELES.CL</v>
      </c>
      <c r="H707" s="24" t="str">
        <f>VLOOKUP(A707,'Informe 2025'!$A$5:$C$164,3,FALSE)</f>
        <v>Buenas practicas inclusivas</v>
      </c>
      <c r="I707">
        <f>VLOOKUP(H707,'Informe 2025'!$C$6:$M$166,11,FALSE)</f>
        <v>1</v>
      </c>
    </row>
    <row r="708" spans="1:9" ht="15.75" x14ac:dyDescent="0.25">
      <c r="A708" s="2">
        <v>57</v>
      </c>
      <c r="B708" t="str">
        <f>VLOOKUP(A708,'Informe 2025'!$1:$1048576,2,FALSE)</f>
        <v>JULIO</v>
      </c>
      <c r="C708" s="31" t="s">
        <v>437</v>
      </c>
      <c r="D708" s="20" t="str">
        <f>VLOOKUP(C708,ID!$1:$1048576,4,FALSE)</f>
        <v>102382</v>
      </c>
      <c r="E708" s="20" t="str">
        <f>VLOOKUP(C708,ID!$1:$1048576,3,FALSE)</f>
        <v xml:space="preserve"> NATALIA ISABEL</v>
      </c>
      <c r="F708" s="20" t="str">
        <f>VLOOKUP(C708,ID!$1:$1048576,2,FALSE)</f>
        <v>NOVOA AGUILERA</v>
      </c>
      <c r="G708" s="2" t="str">
        <f>VLOOKUP(D708,CORREOS!$A$2:$B$570,2,FALSE)</f>
        <v>NNOVOA@ANTAYHOTELES.CL</v>
      </c>
      <c r="H708" s="24" t="str">
        <f>VLOOKUP(A708,'Informe 2025'!$A$5:$C$164,3,FALSE)</f>
        <v>Buenas practicas inclusivas</v>
      </c>
      <c r="I708">
        <f>VLOOKUP(H708,'Informe 2025'!$C$6:$M$166,11,FALSE)</f>
        <v>1</v>
      </c>
    </row>
    <row r="709" spans="1:9" x14ac:dyDescent="0.25">
      <c r="A709" s="2">
        <v>57</v>
      </c>
      <c r="B709" t="str">
        <f>VLOOKUP(A709,'Informe 2025'!$1:$1048576,2,FALSE)</f>
        <v>JULIO</v>
      </c>
      <c r="C709" t="s">
        <v>1916</v>
      </c>
      <c r="D709" s="20" t="str">
        <f>VLOOKUP(C709,ID!$1:$1048576,4,FALSE)</f>
        <v>102121</v>
      </c>
      <c r="E709" s="20" t="str">
        <f>VLOOKUP(C709,ID!$1:$1048576,3,FALSE)</f>
        <v xml:space="preserve"> EMMA JOANNE</v>
      </c>
      <c r="F709" s="20" t="str">
        <f>VLOOKUP(C709,ID!$1:$1048576,2,FALSE)</f>
        <v>VASQUEZ CASANOBA</v>
      </c>
      <c r="G709" s="2" t="str">
        <f>VLOOKUP(D709,CORREOS!$A$2:$B$570,2,FALSE)</f>
        <v>EVCASANOBA@CL.LUCKIA.COM</v>
      </c>
      <c r="H709" s="24" t="str">
        <f>VLOOKUP(A709,'Informe 2025'!$A$5:$C$164,3,FALSE)</f>
        <v>Buenas practicas inclusivas</v>
      </c>
      <c r="I709">
        <f>VLOOKUP(H709,'Informe 2025'!$C$6:$M$166,11,FALSE)</f>
        <v>1</v>
      </c>
    </row>
    <row r="710" spans="1:9" ht="15.75" x14ac:dyDescent="0.25">
      <c r="A710" s="2">
        <v>57</v>
      </c>
      <c r="B710" t="str">
        <f>VLOOKUP(A710,'Informe 2025'!$1:$1048576,2,FALSE)</f>
        <v>JULIO</v>
      </c>
      <c r="C710" s="31" t="s">
        <v>1917</v>
      </c>
      <c r="D710" s="20" t="str">
        <f>VLOOKUP(C710,ID!$1:$1048576,4,FALSE)</f>
        <v>101791</v>
      </c>
      <c r="E710" s="20" t="str">
        <f>VLOOKUP(C710,ID!$1:$1048576,3,FALSE)</f>
        <v xml:space="preserve"> MARIA ESTHER</v>
      </c>
      <c r="F710" s="20" t="str">
        <f>VLOOKUP(C710,ID!$1:$1048576,2,FALSE)</f>
        <v>GONZALEZ GONZALEZ</v>
      </c>
      <c r="G710" s="2" t="str">
        <f>VLOOKUP(D710,CORREOS!$A$2:$B$570,2,FALSE)</f>
        <v>MARIAESTHER.GONZALEZ@ANTAYHOTELES.CL</v>
      </c>
      <c r="H710" s="24" t="str">
        <f>VLOOKUP(A710,'Informe 2025'!$A$5:$C$164,3,FALSE)</f>
        <v>Buenas practicas inclusivas</v>
      </c>
      <c r="I710">
        <f>VLOOKUP(H710,'Informe 2025'!$C$6:$M$166,11,FALSE)</f>
        <v>1</v>
      </c>
    </row>
    <row r="711" spans="1:9" x14ac:dyDescent="0.25">
      <c r="A711" s="2">
        <v>57</v>
      </c>
      <c r="B711" t="str">
        <f>VLOOKUP(A711,'Informe 2025'!$1:$1048576,2,FALSE)</f>
        <v>JULIO</v>
      </c>
      <c r="C711" s="27" t="s">
        <v>409</v>
      </c>
      <c r="D711" s="20" t="str">
        <f>VLOOKUP(C711,ID!$1:$1048576,4,FALSE)</f>
        <v>101887</v>
      </c>
      <c r="E711" s="20" t="str">
        <f>VLOOKUP(C711,ID!$1:$1048576,3,FALSE)</f>
        <v xml:space="preserve"> DANNY ALEJANDRO</v>
      </c>
      <c r="F711" s="20" t="str">
        <f>VLOOKUP(C711,ID!$1:$1048576,2,FALSE)</f>
        <v>MARTINEZ BARROS</v>
      </c>
      <c r="G711" s="2" t="str">
        <f>VLOOKUP(D711,CORREOS!$A$2:$B$570,2,FALSE)</f>
        <v>DANNY.MARTINEZ@ANTAYHOTELES.CL</v>
      </c>
      <c r="H711" s="24" t="str">
        <f>VLOOKUP(A711,'Informe 2025'!$A$5:$C$164,3,FALSE)</f>
        <v>Buenas practicas inclusivas</v>
      </c>
      <c r="I711">
        <f>VLOOKUP(H711,'Informe 2025'!$C$6:$M$166,11,FALSE)</f>
        <v>1</v>
      </c>
    </row>
    <row r="712" spans="1:9" ht="15.75" x14ac:dyDescent="0.25">
      <c r="A712" s="2">
        <v>57</v>
      </c>
      <c r="B712" t="str">
        <f>VLOOKUP(A712,'Informe 2025'!$1:$1048576,2,FALSE)</f>
        <v>JULIO</v>
      </c>
      <c r="C712" s="31" t="s">
        <v>471</v>
      </c>
      <c r="D712" s="20" t="str">
        <f>VLOOKUP(C712,ID!$1:$1048576,4,FALSE)</f>
        <v>101575</v>
      </c>
      <c r="E712" s="20" t="str">
        <f>VLOOKUP(C712,ID!$1:$1048576,3,FALSE)</f>
        <v xml:space="preserve"> PRICILA FERNANDA</v>
      </c>
      <c r="F712" s="20" t="str">
        <f>VLOOKUP(C712,ID!$1:$1048576,2,FALSE)</f>
        <v>RAMIREZ ANDAUR</v>
      </c>
      <c r="G712" s="2" t="str">
        <f>VLOOKUP(D712,CORREOS!$A$2:$B$570,2,FALSE)</f>
        <v>PRICILAFERNANDA.RAMIREZ@ANTAYHOTELES.CL</v>
      </c>
      <c r="H712" s="24" t="str">
        <f>VLOOKUP(A712,'Informe 2025'!$A$5:$C$164,3,FALSE)</f>
        <v>Buenas practicas inclusivas</v>
      </c>
      <c r="I712">
        <f>VLOOKUP(H712,'Informe 2025'!$C$6:$M$166,11,FALSE)</f>
        <v>1</v>
      </c>
    </row>
    <row r="713" spans="1:9" x14ac:dyDescent="0.25">
      <c r="A713" s="2">
        <v>58</v>
      </c>
      <c r="B713" t="str">
        <f>VLOOKUP(A713,'Informe 2025'!$1:$1048576,2,FALSE)</f>
        <v>JULIO</v>
      </c>
      <c r="C713" s="27" t="s">
        <v>450</v>
      </c>
      <c r="D713" s="20" t="str">
        <f>VLOOKUP(C713,ID!$1:$1048576,4,FALSE)</f>
        <v>101327</v>
      </c>
      <c r="E713" s="20" t="str">
        <f>VLOOKUP(C713,ID!$1:$1048576,3,FALSE)</f>
        <v xml:space="preserve"> JOSE ARTURO</v>
      </c>
      <c r="F713" s="20" t="str">
        <f>VLOOKUP(C713,ID!$1:$1048576,2,FALSE)</f>
        <v>PADILLA LAZARO</v>
      </c>
      <c r="G713" s="2" t="str">
        <f>VLOOKUP(D713,CORREOS!$A$2:$B$570,2,FALSE)</f>
        <v>JOSE.PADILLA@CL.LUCKIA.COM</v>
      </c>
      <c r="H713" s="24" t="str">
        <f>VLOOKUP(A713,'Informe 2025'!$A$5:$C$164,3,FALSE)</f>
        <v>Buenas practicas inclusivas</v>
      </c>
      <c r="I713">
        <f>VLOOKUP(H713,'Informe 2025'!$C$6:$M$166,11,FALSE)</f>
        <v>1</v>
      </c>
    </row>
    <row r="714" spans="1:9" ht="15.75" x14ac:dyDescent="0.25">
      <c r="A714" s="2">
        <v>58</v>
      </c>
      <c r="B714" t="str">
        <f>VLOOKUP(A714,'Informe 2025'!$1:$1048576,2,FALSE)</f>
        <v>JULIO</v>
      </c>
      <c r="C714" s="31" t="s">
        <v>496</v>
      </c>
      <c r="D714" s="20" t="str">
        <f>VLOOKUP(C714,ID!$1:$1048576,4,FALSE)</f>
        <v>101326</v>
      </c>
      <c r="E714" s="20" t="str">
        <f>VLOOKUP(C714,ID!$1:$1048576,3,FALSE)</f>
        <v xml:space="preserve"> CHRISTIAN EDUARDO</v>
      </c>
      <c r="F714" s="20" t="str">
        <f>VLOOKUP(C714,ID!$1:$1048576,2,FALSE)</f>
        <v>SALAZAR MALDONADO</v>
      </c>
      <c r="G714" s="2" t="str">
        <f>VLOOKUP(D714,CORREOS!$A$2:$B$570,2,FALSE)</f>
        <v>CHRISTIAN.SALAZAR@CL.LUCKIA.COM</v>
      </c>
      <c r="H714" s="24" t="str">
        <f>VLOOKUP(A714,'Informe 2025'!$A$5:$C$164,3,FALSE)</f>
        <v>Buenas practicas inclusivas</v>
      </c>
      <c r="I714">
        <f>VLOOKUP(H714,'Informe 2025'!$C$6:$M$166,11,FALSE)</f>
        <v>1</v>
      </c>
    </row>
    <row r="715" spans="1:9" x14ac:dyDescent="0.25">
      <c r="A715" s="2">
        <v>58</v>
      </c>
      <c r="B715" t="str">
        <f>VLOOKUP(A715,'Informe 2025'!$1:$1048576,2,FALSE)</f>
        <v>JULIO</v>
      </c>
      <c r="C715" t="s">
        <v>529</v>
      </c>
      <c r="D715" s="20" t="str">
        <f>VLOOKUP(C715,ID!$1:$1048576,4,FALSE)</f>
        <v>101682</v>
      </c>
      <c r="E715" s="20" t="str">
        <f>VLOOKUP(C715,ID!$1:$1048576,3,FALSE)</f>
        <v xml:space="preserve"> ALVARO GUILLERMO</v>
      </c>
      <c r="F715" s="20" t="str">
        <f>VLOOKUP(C715,ID!$1:$1048576,2,FALSE)</f>
        <v>VIDAL RAMIREZ</v>
      </c>
      <c r="G715" s="2" t="str">
        <f>VLOOKUP(D715,CORREOS!$A$2:$B$570,2,FALSE)</f>
        <v>ALVAROGUILLERMO.VIDAL@CL.LUCKIA.COM</v>
      </c>
      <c r="H715" s="24" t="str">
        <f>VLOOKUP(A715,'Informe 2025'!$A$5:$C$164,3,FALSE)</f>
        <v>Buenas practicas inclusivas</v>
      </c>
      <c r="I715">
        <f>VLOOKUP(H715,'Informe 2025'!$C$6:$M$166,11,FALSE)</f>
        <v>1</v>
      </c>
    </row>
    <row r="716" spans="1:9" ht="15.75" x14ac:dyDescent="0.25">
      <c r="A716" s="2">
        <v>58</v>
      </c>
      <c r="B716" t="str">
        <f>VLOOKUP(A716,'Informe 2025'!$1:$1048576,2,FALSE)</f>
        <v>JULIO</v>
      </c>
      <c r="C716" s="31" t="s">
        <v>275</v>
      </c>
      <c r="D716" s="20" t="str">
        <f>VLOOKUP(C716,ID!$1:$1048576,4,FALSE)</f>
        <v>102798</v>
      </c>
      <c r="E716" s="20" t="str">
        <f>VLOOKUP(C716,ID!$1:$1048576,3,FALSE)</f>
        <v xml:space="preserve"> ANAHI PAZ</v>
      </c>
      <c r="F716" s="20" t="str">
        <f>VLOOKUP(C716,ID!$1:$1048576,2,FALSE)</f>
        <v>ASTUDILLO MUÑOZ</v>
      </c>
      <c r="G716" s="2" t="str">
        <f>VLOOKUP(D716,CORREOS!$A$2:$B$570,2,FALSE)</f>
        <v>AASTUDILLO@ANTAYHOTELES.CL</v>
      </c>
      <c r="H716" s="24" t="str">
        <f>VLOOKUP(A716,'Informe 2025'!$A$5:$C$164,3,FALSE)</f>
        <v>Buenas practicas inclusivas</v>
      </c>
      <c r="I716">
        <f>VLOOKUP(H716,'Informe 2025'!$C$6:$M$166,11,FALSE)</f>
        <v>1</v>
      </c>
    </row>
    <row r="717" spans="1:9" x14ac:dyDescent="0.25">
      <c r="A717" s="2">
        <v>58</v>
      </c>
      <c r="B717" t="str">
        <f>VLOOKUP(A717,'Informe 2025'!$1:$1048576,2,FALSE)</f>
        <v>JULIO</v>
      </c>
      <c r="C717" t="s">
        <v>360</v>
      </c>
      <c r="D717" s="20" t="str">
        <f>VLOOKUP(C717,ID!$1:$1048576,4,FALSE)</f>
        <v>100753</v>
      </c>
      <c r="E717" s="20" t="str">
        <f>VLOOKUP(C717,ID!$1:$1048576,3,FALSE)</f>
        <v xml:space="preserve"> DIEGO ANTONIO</v>
      </c>
      <c r="F717" s="20" t="str">
        <f>VLOOKUP(C717,ID!$1:$1048576,2,FALSE)</f>
        <v>GODOY PEÑA</v>
      </c>
      <c r="G717" s="2" t="str">
        <f>VLOOKUP(D717,CORREOS!$A$2:$B$570,2,FALSE)</f>
        <v>DIEGO.GODOY@CL.LUCKIA.COM</v>
      </c>
      <c r="H717" s="24" t="str">
        <f>VLOOKUP(A717,'Informe 2025'!$A$5:$C$164,3,FALSE)</f>
        <v>Buenas practicas inclusivas</v>
      </c>
      <c r="I717">
        <f>VLOOKUP(H717,'Informe 2025'!$C$6:$M$166,11,FALSE)</f>
        <v>1</v>
      </c>
    </row>
    <row r="718" spans="1:9" ht="15.75" x14ac:dyDescent="0.25">
      <c r="A718" s="2">
        <v>58</v>
      </c>
      <c r="B718" t="str">
        <f>VLOOKUP(A718,'Informe 2025'!$1:$1048576,2,FALSE)</f>
        <v>JULIO</v>
      </c>
      <c r="C718" s="31" t="s">
        <v>397</v>
      </c>
      <c r="D718" s="20" t="str">
        <f>VLOOKUP(C718,ID!$1:$1048576,4,FALSE)</f>
        <v>101337</v>
      </c>
      <c r="E718" s="20" t="str">
        <f>VLOOKUP(C718,ID!$1:$1048576,3,FALSE)</f>
        <v xml:space="preserve"> CHRISTIAN FERNANDO</v>
      </c>
      <c r="F718" s="20" t="str">
        <f>VLOOKUP(C718,ID!$1:$1048576,2,FALSE)</f>
        <v>LIRA GONZALEZ</v>
      </c>
      <c r="G718" s="2" t="str">
        <f>VLOOKUP(D718,CORREOS!$A$2:$B$570,2,FALSE)</f>
        <v>CHRISTIAN.LIRA@CL.LUCKIA.COM</v>
      </c>
      <c r="H718" s="24" t="str">
        <f>VLOOKUP(A718,'Informe 2025'!$A$5:$C$164,3,FALSE)</f>
        <v>Buenas practicas inclusivas</v>
      </c>
      <c r="I718">
        <f>VLOOKUP(H718,'Informe 2025'!$C$6:$M$166,11,FALSE)</f>
        <v>1</v>
      </c>
    </row>
    <row r="719" spans="1:9" x14ac:dyDescent="0.25">
      <c r="A719" s="2">
        <v>58</v>
      </c>
      <c r="B719" t="str">
        <f>VLOOKUP(A719,'Informe 2025'!$1:$1048576,2,FALSE)</f>
        <v>JULIO</v>
      </c>
      <c r="C719" t="s">
        <v>1644</v>
      </c>
      <c r="D719" s="20" t="str">
        <f>VLOOKUP(C719,ID!$1:$1048576,4,FALSE)</f>
        <v>102452</v>
      </c>
      <c r="E719" s="20" t="str">
        <f>VLOOKUP(C719,ID!$1:$1048576,3,FALSE)</f>
        <v xml:space="preserve"> JOEL JOSE</v>
      </c>
      <c r="F719" s="20" t="str">
        <f>VLOOKUP(C719,ID!$1:$1048576,2,FALSE)</f>
        <v>GONZALEZ VASQUEZ</v>
      </c>
      <c r="G719" s="2" t="e">
        <f>VLOOKUP(D719,CORREOS!$A$2:$B$570,2,FALSE)</f>
        <v>#N/A</v>
      </c>
      <c r="H719" s="24" t="str">
        <f>VLOOKUP(A719,'Informe 2025'!$A$5:$C$164,3,FALSE)</f>
        <v>Buenas practicas inclusivas</v>
      </c>
      <c r="I719">
        <f>VLOOKUP(H719,'Informe 2025'!$C$6:$M$166,11,FALSE)</f>
        <v>1</v>
      </c>
    </row>
    <row r="720" spans="1:9" ht="15.75" x14ac:dyDescent="0.25">
      <c r="A720" s="2">
        <v>58</v>
      </c>
      <c r="B720" t="str">
        <f>VLOOKUP(A720,'Informe 2025'!$1:$1048576,2,FALSE)</f>
        <v>JULIO</v>
      </c>
      <c r="C720" s="31" t="s">
        <v>507</v>
      </c>
      <c r="D720" s="20" t="str">
        <f>VLOOKUP(C720,ID!$1:$1048576,4,FALSE)</f>
        <v>101892</v>
      </c>
      <c r="E720" s="20" t="str">
        <f>VLOOKUP(C720,ID!$1:$1048576,3,FALSE)</f>
        <v xml:space="preserve"> ALEJANDRO LUIS</v>
      </c>
      <c r="F720" s="20" t="str">
        <f>VLOOKUP(C720,ID!$1:$1048576,2,FALSE)</f>
        <v>SOLIS AGUIRRE</v>
      </c>
      <c r="G720" s="2" t="str">
        <f>VLOOKUP(D720,CORREOS!$A$2:$B$570,2,FALSE)</f>
        <v>ASOLIS@ANTAYHOTELES.CL</v>
      </c>
      <c r="H720" s="24" t="str">
        <f>VLOOKUP(A720,'Informe 2025'!$A$5:$C$164,3,FALSE)</f>
        <v>Buenas practicas inclusivas</v>
      </c>
      <c r="I720">
        <f>VLOOKUP(H720,'Informe 2025'!$C$6:$M$166,11,FALSE)</f>
        <v>1</v>
      </c>
    </row>
    <row r="721" spans="1:9" x14ac:dyDescent="0.25">
      <c r="A721" s="2">
        <v>58</v>
      </c>
      <c r="B721" t="str">
        <f>VLOOKUP(A721,'Informe 2025'!$1:$1048576,2,FALSE)</f>
        <v>JULIO</v>
      </c>
      <c r="C721" t="s">
        <v>447</v>
      </c>
      <c r="D721" s="20" t="str">
        <f>VLOOKUP(C721,ID!$1:$1048576,4,FALSE)</f>
        <v>100450</v>
      </c>
      <c r="E721" s="20" t="str">
        <f>VLOOKUP(C721,ID!$1:$1048576,3,FALSE)</f>
        <v xml:space="preserve"> OSCAR ANDRES</v>
      </c>
      <c r="F721" s="20" t="str">
        <f>VLOOKUP(C721,ID!$1:$1048576,2,FALSE)</f>
        <v>OSSANDON ALCOTA</v>
      </c>
      <c r="G721" s="2" t="str">
        <f>VLOOKUP(D721,CORREOS!$A$2:$B$570,2,FALSE)</f>
        <v>OSCAR.OSSANDON@ANTAYHOTELES.CL</v>
      </c>
      <c r="H721" s="24" t="str">
        <f>VLOOKUP(A721,'Informe 2025'!$A$5:$C$164,3,FALSE)</f>
        <v>Buenas practicas inclusivas</v>
      </c>
      <c r="I721">
        <f>VLOOKUP(H721,'Informe 2025'!$C$6:$M$166,11,FALSE)</f>
        <v>1</v>
      </c>
    </row>
    <row r="722" spans="1:9" ht="15.75" x14ac:dyDescent="0.25">
      <c r="A722" s="2">
        <v>58</v>
      </c>
      <c r="B722" t="str">
        <f>VLOOKUP(A722,'Informe 2025'!$1:$1048576,2,FALSE)</f>
        <v>JULIO</v>
      </c>
      <c r="C722" s="31" t="s">
        <v>407</v>
      </c>
      <c r="D722" s="20" t="str">
        <f>VLOOKUP(C722,ID!$1:$1048576,4,FALSE)</f>
        <v>101826</v>
      </c>
      <c r="E722" s="20" t="str">
        <f>VLOOKUP(C722,ID!$1:$1048576,3,FALSE)</f>
        <v xml:space="preserve"> NARELA ALIZON JUDYT</v>
      </c>
      <c r="F722" s="20" t="str">
        <f>VLOOKUP(C722,ID!$1:$1048576,2,FALSE)</f>
        <v>MARINO ALARO</v>
      </c>
      <c r="G722" s="2" t="str">
        <f>VLOOKUP(D722,CORREOS!$A$2:$B$570,2,FALSE)</f>
        <v>NMARINO@CL.LUCKIA.COM</v>
      </c>
      <c r="H722" s="24" t="str">
        <f>VLOOKUP(A722,'Informe 2025'!$A$5:$C$164,3,FALSE)</f>
        <v>Buenas practicas inclusivas</v>
      </c>
      <c r="I722">
        <f>VLOOKUP(H722,'Informe 2025'!$C$6:$M$166,11,FALSE)</f>
        <v>1</v>
      </c>
    </row>
    <row r="723" spans="1:9" x14ac:dyDescent="0.25">
      <c r="A723" s="2">
        <v>58</v>
      </c>
      <c r="B723" t="str">
        <f>VLOOKUP(A723,'Informe 2025'!$1:$1048576,2,FALSE)</f>
        <v>JULIO</v>
      </c>
      <c r="C723" t="s">
        <v>1817</v>
      </c>
      <c r="D723" s="20" t="str">
        <f>VLOOKUP(C723,ID!$1:$1048576,4,FALSE)</f>
        <v>103853</v>
      </c>
      <c r="E723" s="20" t="str">
        <f>VLOOKUP(C723,ID!$1:$1048576,3,FALSE)</f>
        <v xml:space="preserve"> JUAN LUIS</v>
      </c>
      <c r="F723" s="20" t="str">
        <f>VLOOKUP(C723,ID!$1:$1048576,2,FALSE)</f>
        <v>CASTILLO NAVARRETE</v>
      </c>
      <c r="G723" s="2" t="str">
        <f>VLOOKUP(D723,CORREOS!$A$2:$B$570,2,FALSE)</f>
        <v>jcnavarrete@cl.luckia.com</v>
      </c>
      <c r="H723" s="24" t="str">
        <f>VLOOKUP(A723,'Informe 2025'!$A$5:$C$164,3,FALSE)</f>
        <v>Buenas practicas inclusivas</v>
      </c>
      <c r="I723">
        <f>VLOOKUP(H723,'Informe 2025'!$C$6:$M$166,11,FALSE)</f>
        <v>1</v>
      </c>
    </row>
    <row r="724" spans="1:9" ht="15.75" x14ac:dyDescent="0.25">
      <c r="A724" s="2">
        <v>58</v>
      </c>
      <c r="B724" t="str">
        <f>VLOOKUP(A724,'Informe 2025'!$1:$1048576,2,FALSE)</f>
        <v>JULIO</v>
      </c>
      <c r="C724" s="31" t="s">
        <v>362</v>
      </c>
      <c r="D724" s="20" t="str">
        <f>VLOOKUP(C724,ID!$1:$1048576,4,FALSE)</f>
        <v>103348</v>
      </c>
      <c r="E724" s="20" t="str">
        <f>VLOOKUP(C724,ID!$1:$1048576,3,FALSE)</f>
        <v xml:space="preserve"> FRANCISCO</v>
      </c>
      <c r="F724" s="20" t="str">
        <f>VLOOKUP(C724,ID!$1:$1048576,2,FALSE)</f>
        <v>GOMEZ CERQUEIRO</v>
      </c>
      <c r="G724" s="2" t="str">
        <f>VLOOKUP(D724,CORREOS!$A$2:$B$570,2,FALSE)</f>
        <v>FGCERQUEIRO@LUCKIA.COM</v>
      </c>
      <c r="H724" s="24" t="str">
        <f>VLOOKUP(A724,'Informe 2025'!$A$5:$C$164,3,FALSE)</f>
        <v>Buenas practicas inclusivas</v>
      </c>
      <c r="I724">
        <f>VLOOKUP(H724,'Informe 2025'!$C$6:$M$166,11,FALSE)</f>
        <v>1</v>
      </c>
    </row>
    <row r="725" spans="1:9" x14ac:dyDescent="0.25">
      <c r="A725" s="2">
        <v>58</v>
      </c>
      <c r="B725" t="str">
        <f>VLOOKUP(A725,'Informe 2025'!$1:$1048576,2,FALSE)</f>
        <v>JULIO</v>
      </c>
      <c r="C725" t="s">
        <v>509</v>
      </c>
      <c r="D725" s="20" t="str">
        <f>VLOOKUP(C725,ID!$1:$1048576,4,FALSE)</f>
        <v>100156</v>
      </c>
      <c r="E725" s="20" t="str">
        <f>VLOOKUP(C725,ID!$1:$1048576,3,FALSE)</f>
        <v xml:space="preserve"> KENJEI IVAR</v>
      </c>
      <c r="F725" s="20" t="str">
        <f>VLOOKUP(C725,ID!$1:$1048576,2,FALSE)</f>
        <v>STIPELCOVICH STIPELCOVICH</v>
      </c>
      <c r="G725" s="2" t="str">
        <f>VLOOKUP(D725,CORREOS!$A$2:$B$570,2,FALSE)</f>
        <v>KENJEI.STIPELCOVICH@CL.LUCKIA.COM</v>
      </c>
      <c r="H725" s="24" t="str">
        <f>VLOOKUP(A725,'Informe 2025'!$A$5:$C$164,3,FALSE)</f>
        <v>Buenas practicas inclusivas</v>
      </c>
      <c r="I725">
        <f>VLOOKUP(H725,'Informe 2025'!$C$6:$M$166,11,FALSE)</f>
        <v>1</v>
      </c>
    </row>
    <row r="726" spans="1:9" ht="15.75" x14ac:dyDescent="0.25">
      <c r="A726" s="2">
        <v>59</v>
      </c>
      <c r="B726" t="str">
        <f>VLOOKUP(A726,'Informe 2025'!$1:$1048576,2,FALSE)</f>
        <v>JULIO</v>
      </c>
      <c r="C726" s="31" t="s">
        <v>447</v>
      </c>
      <c r="D726" s="20" t="str">
        <f>VLOOKUP(C726,ID!$1:$1048576,4,FALSE)</f>
        <v>100450</v>
      </c>
      <c r="E726" s="20" t="str">
        <f>VLOOKUP(C726,ID!$1:$1048576,3,FALSE)</f>
        <v xml:space="preserve"> OSCAR ANDRES</v>
      </c>
      <c r="F726" s="20" t="str">
        <f>VLOOKUP(C726,ID!$1:$1048576,2,FALSE)</f>
        <v>OSSANDON ALCOTA</v>
      </c>
      <c r="G726" s="2" t="str">
        <f>VLOOKUP(D726,CORREOS!$A$2:$B$570,2,FALSE)</f>
        <v>OSCAR.OSSANDON@ANTAYHOTELES.CL</v>
      </c>
      <c r="H726" s="24" t="str">
        <f>VLOOKUP(A726,'Informe 2025'!$A$5:$C$164,3,FALSE)</f>
        <v>Diplomado Marketing Digital</v>
      </c>
      <c r="I726">
        <f>VLOOKUP(H726,'Informe 2025'!$C$6:$M$166,11,FALSE)</f>
        <v>100</v>
      </c>
    </row>
    <row r="727" spans="1:9" x14ac:dyDescent="0.25">
      <c r="A727" s="2">
        <v>60</v>
      </c>
      <c r="B727" t="str">
        <f>VLOOKUP(A727,'Informe 2025'!$1:$1048576,2,FALSE)</f>
        <v>JULIO</v>
      </c>
      <c r="C727" t="s">
        <v>372</v>
      </c>
      <c r="D727" s="20" t="str">
        <f>VLOOKUP(C727,ID!$1:$1048576,4,FALSE)</f>
        <v>103010</v>
      </c>
      <c r="E727" s="20" t="str">
        <f>VLOOKUP(C727,ID!$1:$1048576,3,FALSE)</f>
        <v xml:space="preserve"> FERNANDO</v>
      </c>
      <c r="F727" s="20" t="str">
        <f>VLOOKUP(C727,ID!$1:$1048576,2,FALSE)</f>
        <v>GONZALEZ OROZCO</v>
      </c>
      <c r="G727" s="2" t="str">
        <f>VLOOKUP(D727,CORREOS!$A$2:$B$570,2,FALSE)</f>
        <v>FGOROZCO@ANTAYHOTELES.CL</v>
      </c>
      <c r="H727" s="24" t="str">
        <f>VLOOKUP(A727,'Informe 2025'!$A$5:$C$164,3,FALSE)</f>
        <v>Curso de Ingles</v>
      </c>
      <c r="I727">
        <f>VLOOKUP(H727,'Informe 2025'!$C$6:$M$166,11,FALSE)</f>
        <v>12</v>
      </c>
    </row>
    <row r="728" spans="1:9" x14ac:dyDescent="0.25">
      <c r="A728" s="2">
        <v>60</v>
      </c>
      <c r="B728" t="str">
        <f>VLOOKUP(A728,'Informe 2025'!$1:$1048576,2,FALSE)</f>
        <v>JULIO</v>
      </c>
      <c r="C728" t="s">
        <v>356</v>
      </c>
      <c r="D728" s="20" t="str">
        <f>VLOOKUP(C728,ID!$1:$1048576,4,FALSE)</f>
        <v>101587</v>
      </c>
      <c r="E728" s="20" t="str">
        <f>VLOOKUP(C728,ID!$1:$1048576,3,FALSE)</f>
        <v xml:space="preserve"> BERNARDO ANTONIO</v>
      </c>
      <c r="F728" s="20" t="str">
        <f>VLOOKUP(C728,ID!$1:$1048576,2,FALSE)</f>
        <v>GARRIDO ANTINAO</v>
      </c>
      <c r="G728" s="2" t="str">
        <f>VLOOKUP(D728,CORREOS!$A$2:$B$570,2,FALSE)</f>
        <v>BERNARDOANTONIO.GARRIDO@CL.LUCKIA.COM</v>
      </c>
      <c r="H728" s="24" t="str">
        <f>VLOOKUP(A728,'Informe 2025'!$A$5:$C$164,3,FALSE)</f>
        <v>Curso de Ingles</v>
      </c>
      <c r="I728">
        <f>VLOOKUP(H728,'Informe 2025'!$C$6:$M$166,11,FALSE)</f>
        <v>12</v>
      </c>
    </row>
    <row r="729" spans="1:9" x14ac:dyDescent="0.25">
      <c r="A729" s="2">
        <v>60</v>
      </c>
      <c r="B729" t="str">
        <f>VLOOKUP(A729,'Informe 2025'!$1:$1048576,2,FALSE)</f>
        <v>JULIO</v>
      </c>
      <c r="C729" t="s">
        <v>395</v>
      </c>
      <c r="D729" s="20" t="str">
        <f>VLOOKUP(C729,ID!$1:$1048576,4,FALSE)</f>
        <v>102063</v>
      </c>
      <c r="E729" s="20" t="str">
        <f>VLOOKUP(C729,ID!$1:$1048576,3,FALSE)</f>
        <v xml:space="preserve"> MICHELLE ANNETTE</v>
      </c>
      <c r="F729" s="20" t="str">
        <f>VLOOKUP(C729,ID!$1:$1048576,2,FALSE)</f>
        <v>LEAL LEYTON</v>
      </c>
      <c r="G729" s="2" t="str">
        <f>VLOOKUP(D729,CORREOS!$A$2:$B$570,2,FALSE)</f>
        <v>MLEAL@CL.LUCKIA.COM</v>
      </c>
      <c r="H729" s="24" t="str">
        <f>VLOOKUP(A729,'Informe 2025'!$A$5:$C$164,3,FALSE)</f>
        <v>Curso de Ingles</v>
      </c>
      <c r="I729">
        <f>VLOOKUP(H729,'Informe 2025'!$C$6:$M$166,11,FALSE)</f>
        <v>12</v>
      </c>
    </row>
    <row r="730" spans="1:9" x14ac:dyDescent="0.25">
      <c r="A730" s="2">
        <v>60</v>
      </c>
      <c r="B730" t="str">
        <f>VLOOKUP(A730,'Informe 2025'!$1:$1048576,2,FALSE)</f>
        <v>JULIO</v>
      </c>
      <c r="C730" t="s">
        <v>407</v>
      </c>
      <c r="D730" s="20" t="str">
        <f>VLOOKUP(C730,ID!$1:$1048576,4,FALSE)</f>
        <v>101826</v>
      </c>
      <c r="E730" s="20" t="str">
        <f>VLOOKUP(C730,ID!$1:$1048576,3,FALSE)</f>
        <v xml:space="preserve"> NARELA ALIZON JUDYT</v>
      </c>
      <c r="F730" s="20" t="str">
        <f>VLOOKUP(C730,ID!$1:$1048576,2,FALSE)</f>
        <v>MARINO ALARO</v>
      </c>
      <c r="G730" s="2" t="str">
        <f>VLOOKUP(D730,CORREOS!$A$2:$B$570,2,FALSE)</f>
        <v>NMARINO@CL.LUCKIA.COM</v>
      </c>
      <c r="H730" s="24" t="str">
        <f>VLOOKUP(A730,'Informe 2025'!$A$5:$C$164,3,FALSE)</f>
        <v>Curso de Ingles</v>
      </c>
      <c r="I730">
        <f>VLOOKUP(H730,'Informe 2025'!$C$6:$M$166,11,FALSE)</f>
        <v>12</v>
      </c>
    </row>
    <row r="731" spans="1:9" x14ac:dyDescent="0.25">
      <c r="A731" s="2">
        <v>60</v>
      </c>
      <c r="B731" t="str">
        <f>VLOOKUP(A731,'Informe 2025'!$1:$1048576,2,FALSE)</f>
        <v>JULIO</v>
      </c>
      <c r="C731" t="s">
        <v>351</v>
      </c>
      <c r="D731" s="20" t="str">
        <f>VLOOKUP(C731,ID!$1:$1048576,4,FALSE)</f>
        <v>103260</v>
      </c>
      <c r="E731" s="20" t="str">
        <f>VLOOKUP(C731,ID!$1:$1048576,3,FALSE)</f>
        <v xml:space="preserve"> JUAN MANUEL</v>
      </c>
      <c r="F731" s="20" t="str">
        <f>VLOOKUP(C731,ID!$1:$1048576,2,FALSE)</f>
        <v>GALLARDO MARIN</v>
      </c>
      <c r="G731" s="2" t="str">
        <f>VLOOKUP(D731,CORREOS!$A$2:$B$570,2,FALSE)</f>
        <v>JGMARIN@CL.LUCKIA.COM</v>
      </c>
      <c r="H731" s="24" t="str">
        <f>VLOOKUP(A731,'Informe 2025'!$A$5:$C$164,3,FALSE)</f>
        <v>Curso de Ingles</v>
      </c>
      <c r="I731">
        <f>VLOOKUP(H731,'Informe 2025'!$C$6:$M$166,11,FALSE)</f>
        <v>12</v>
      </c>
    </row>
    <row r="732" spans="1:9" x14ac:dyDescent="0.25">
      <c r="A732" s="2">
        <v>60</v>
      </c>
      <c r="B732" t="str">
        <f>VLOOKUP(A732,'Informe 2025'!$1:$1048576,2,FALSE)</f>
        <v>JULIO</v>
      </c>
      <c r="C732" t="s">
        <v>497</v>
      </c>
      <c r="D732" s="20" t="str">
        <f>VLOOKUP(C732,ID!$1:$1048576,4,FALSE)</f>
        <v>101379</v>
      </c>
      <c r="E732" s="20" t="str">
        <f>VLOOKUP(C732,ID!$1:$1048576,3,FALSE)</f>
        <v xml:space="preserve"> FABRIZZIO ANIBAL DUVAN</v>
      </c>
      <c r="F732" s="20" t="str">
        <f>VLOOKUP(C732,ID!$1:$1048576,2,FALSE)</f>
        <v>SALDAÑO CHAMORRO</v>
      </c>
      <c r="G732" s="2" t="str">
        <f>VLOOKUP(D732,CORREOS!$A$2:$B$570,2,FALSE)</f>
        <v>FABRIZZIOANIBALDUVAN.SALDANO@CL.LUCKIA.COM</v>
      </c>
      <c r="H732" s="24" t="str">
        <f>VLOOKUP(A732,'Informe 2025'!$A$5:$C$164,3,FALSE)</f>
        <v>Curso de Ingles</v>
      </c>
      <c r="I732">
        <f>VLOOKUP(H732,'Informe 2025'!$C$6:$M$166,11,FALSE)</f>
        <v>12</v>
      </c>
    </row>
    <row r="733" spans="1:9" x14ac:dyDescent="0.25">
      <c r="A733" s="2">
        <v>60</v>
      </c>
      <c r="B733" t="str">
        <f>VLOOKUP(A733,'Informe 2025'!$1:$1048576,2,FALSE)</f>
        <v>JULIO</v>
      </c>
      <c r="C733" t="s">
        <v>488</v>
      </c>
      <c r="D733" s="20" t="str">
        <f>VLOOKUP(C733,ID!$1:$1048576,4,FALSE)</f>
        <v>101691</v>
      </c>
      <c r="E733" s="20" t="str">
        <f>VLOOKUP(C733,ID!$1:$1048576,3,FALSE)</f>
        <v xml:space="preserve"> MARIA JOSE</v>
      </c>
      <c r="F733" s="20" t="str">
        <f>VLOOKUP(C733,ID!$1:$1048576,2,FALSE)</f>
        <v>ROJAS FERNANDEZ</v>
      </c>
      <c r="G733" s="2" t="str">
        <f>VLOOKUP(D733,CORREOS!$A$2:$B$570,2,FALSE)</f>
        <v>MARIAJOSE.ROJAS@ANTAYHOTELES.CL</v>
      </c>
      <c r="H733" s="24" t="str">
        <f>VLOOKUP(A733,'Informe 2025'!$A$5:$C$164,3,FALSE)</f>
        <v>Curso de Ingles</v>
      </c>
      <c r="I733">
        <f>VLOOKUP(H733,'Informe 2025'!$C$6:$M$166,11,FALSE)</f>
        <v>12</v>
      </c>
    </row>
    <row r="734" spans="1:9" x14ac:dyDescent="0.25">
      <c r="A734" s="2">
        <v>60</v>
      </c>
      <c r="B734" t="str">
        <f>VLOOKUP(A734,'Informe 2025'!$1:$1048576,2,FALSE)</f>
        <v>JULIO</v>
      </c>
      <c r="C734" t="s">
        <v>361</v>
      </c>
      <c r="D734" s="20" t="str">
        <f>VLOOKUP(C734,ID!$1:$1048576,4,FALSE)</f>
        <v>101731</v>
      </c>
      <c r="E734" s="20" t="str">
        <f>VLOOKUP(C734,ID!$1:$1048576,3,FALSE)</f>
        <v xml:space="preserve"> JAVIERA BEATRIZ</v>
      </c>
      <c r="F734" s="20" t="str">
        <f>VLOOKUP(C734,ID!$1:$1048576,2,FALSE)</f>
        <v>GODOY URRA</v>
      </c>
      <c r="G734" s="2" t="str">
        <f>VLOOKUP(D734,CORREOS!$A$2:$B$570,2,FALSE)</f>
        <v>JGODOY@ANTAYHOTELES.CL</v>
      </c>
      <c r="H734" s="24" t="str">
        <f>VLOOKUP(A734,'Informe 2025'!$A$5:$C$164,3,FALSE)</f>
        <v>Curso de Ingles</v>
      </c>
      <c r="I734">
        <f>VLOOKUP(H734,'Informe 2025'!$C$6:$M$166,11,FALSE)</f>
        <v>12</v>
      </c>
    </row>
    <row r="735" spans="1:9" x14ac:dyDescent="0.25">
      <c r="A735" s="2">
        <v>60</v>
      </c>
      <c r="B735" t="str">
        <f>VLOOKUP(A735,'Informe 2025'!$1:$1048576,2,FALSE)</f>
        <v>JULIO</v>
      </c>
      <c r="C735" t="s">
        <v>378</v>
      </c>
      <c r="D735" s="20" t="str">
        <f>VLOOKUP(C735,ID!$1:$1048576,4,FALSE)</f>
        <v>101407</v>
      </c>
      <c r="E735" s="20" t="str">
        <f>VLOOKUP(C735,ID!$1:$1048576,3,FALSE)</f>
        <v xml:space="preserve"> JOSEPH ALFREDO</v>
      </c>
      <c r="F735" s="20" t="str">
        <f>VLOOKUP(C735,ID!$1:$1048576,2,FALSE)</f>
        <v>HENRIQUEZ ARAYA</v>
      </c>
      <c r="G735" s="2" t="str">
        <f>VLOOKUP(D735,CORREOS!$A$2:$B$570,2,FALSE)</f>
        <v>JOSEPHALFREDO.HENRIQUEZ@CL.LUCKIA.COM</v>
      </c>
      <c r="H735" s="24" t="str">
        <f>VLOOKUP(A735,'Informe 2025'!$A$5:$C$164,3,FALSE)</f>
        <v>Curso de Ingles</v>
      </c>
      <c r="I735">
        <f>VLOOKUP(H735,'Informe 2025'!$C$6:$M$166,11,FALSE)</f>
        <v>12</v>
      </c>
    </row>
    <row r="736" spans="1:9" x14ac:dyDescent="0.25">
      <c r="A736" s="2">
        <v>60</v>
      </c>
      <c r="B736" t="str">
        <f>VLOOKUP(A736,'Informe 2025'!$1:$1048576,2,FALSE)</f>
        <v>JULIO</v>
      </c>
      <c r="C736" t="s">
        <v>534</v>
      </c>
      <c r="D736" s="20" t="str">
        <f>VLOOKUP(C736,ID!$1:$1048576,4,FALSE)</f>
        <v>102292</v>
      </c>
      <c r="E736" s="20" t="str">
        <f>VLOOKUP(C736,ID!$1:$1048576,3,FALSE)</f>
        <v xml:space="preserve"> ESKARLETT YUBINZA</v>
      </c>
      <c r="F736" s="20" t="str">
        <f>VLOOKUP(C736,ID!$1:$1048576,2,FALSE)</f>
        <v>ZULETA COLQUE</v>
      </c>
      <c r="G736" s="2" t="str">
        <f>VLOOKUP(D736,CORREOS!$A$2:$B$570,2,FALSE)</f>
        <v>EZCOLQUE@CL.LUCKIA.COM</v>
      </c>
      <c r="H736" s="24" t="str">
        <f>VLOOKUP(A736,'Informe 2025'!$A$5:$C$164,3,FALSE)</f>
        <v>Curso de Ingles</v>
      </c>
      <c r="I736">
        <f>VLOOKUP(H736,'Informe 2025'!$C$6:$M$166,11,FALSE)</f>
        <v>12</v>
      </c>
    </row>
    <row r="737" spans="1:9" x14ac:dyDescent="0.25">
      <c r="A737" s="2">
        <v>60</v>
      </c>
      <c r="B737" t="str">
        <f>VLOOKUP(A737,'Informe 2025'!$1:$1048576,2,FALSE)</f>
        <v>JULIO</v>
      </c>
      <c r="C737" t="s">
        <v>356</v>
      </c>
      <c r="D737" s="20" t="str">
        <f>VLOOKUP(C737,ID!$1:$1048576,4,FALSE)</f>
        <v>101587</v>
      </c>
      <c r="E737" s="20" t="str">
        <f>VLOOKUP(C737,ID!$1:$1048576,3,FALSE)</f>
        <v xml:space="preserve"> BERNARDO ANTONIO</v>
      </c>
      <c r="F737" s="20" t="str">
        <f>VLOOKUP(C737,ID!$1:$1048576,2,FALSE)</f>
        <v>GARRIDO ANTINAO</v>
      </c>
      <c r="G737" s="2" t="str">
        <f>VLOOKUP(D737,CORREOS!$A$2:$B$570,2,FALSE)</f>
        <v>BERNARDOANTONIO.GARRIDO@CL.LUCKIA.COM</v>
      </c>
      <c r="H737" s="24" t="str">
        <f>VLOOKUP(A737,'Informe 2025'!$A$5:$C$164,3,FALSE)</f>
        <v>Curso de Ingles</v>
      </c>
      <c r="I737">
        <f>VLOOKUP(H737,'Informe 2025'!$C$6:$M$166,11,FALSE)</f>
        <v>12</v>
      </c>
    </row>
    <row r="738" spans="1:9" x14ac:dyDescent="0.25">
      <c r="A738" s="2">
        <v>60</v>
      </c>
      <c r="B738" t="str">
        <f>VLOOKUP(A738,'Informe 2025'!$1:$1048576,2,FALSE)</f>
        <v>JULIO</v>
      </c>
      <c r="C738" t="s">
        <v>395</v>
      </c>
      <c r="D738" s="20" t="str">
        <f>VLOOKUP(C738,ID!$1:$1048576,4,FALSE)</f>
        <v>102063</v>
      </c>
      <c r="E738" s="20" t="str">
        <f>VLOOKUP(C738,ID!$1:$1048576,3,FALSE)</f>
        <v xml:space="preserve"> MICHELLE ANNETTE</v>
      </c>
      <c r="F738" s="20" t="str">
        <f>VLOOKUP(C738,ID!$1:$1048576,2,FALSE)</f>
        <v>LEAL LEYTON</v>
      </c>
      <c r="G738" s="2" t="str">
        <f>VLOOKUP(D738,CORREOS!$A$2:$B$570,2,FALSE)</f>
        <v>MLEAL@CL.LUCKIA.COM</v>
      </c>
      <c r="H738" s="24" t="str">
        <f>VLOOKUP(A738,'Informe 2025'!$A$5:$C$164,3,FALSE)</f>
        <v>Curso de Ingles</v>
      </c>
      <c r="I738">
        <f>VLOOKUP(H738,'Informe 2025'!$C$6:$M$166,11,FALSE)</f>
        <v>12</v>
      </c>
    </row>
    <row r="739" spans="1:9" x14ac:dyDescent="0.25">
      <c r="A739" s="2">
        <v>60</v>
      </c>
      <c r="B739" t="str">
        <f>VLOOKUP(A739,'Informe 2025'!$1:$1048576,2,FALSE)</f>
        <v>JULIO</v>
      </c>
      <c r="C739" t="s">
        <v>407</v>
      </c>
      <c r="D739" s="20" t="str">
        <f>VLOOKUP(C739,ID!$1:$1048576,4,FALSE)</f>
        <v>101826</v>
      </c>
      <c r="E739" s="20" t="str">
        <f>VLOOKUP(C739,ID!$1:$1048576,3,FALSE)</f>
        <v xml:space="preserve"> NARELA ALIZON JUDYT</v>
      </c>
      <c r="F739" s="20" t="str">
        <f>VLOOKUP(C739,ID!$1:$1048576,2,FALSE)</f>
        <v>MARINO ALARO</v>
      </c>
      <c r="G739" s="2" t="str">
        <f>VLOOKUP(D739,CORREOS!$A$2:$B$570,2,FALSE)</f>
        <v>NMARINO@CL.LUCKIA.COM</v>
      </c>
      <c r="H739" s="24" t="str">
        <f>VLOOKUP(A739,'Informe 2025'!$A$5:$C$164,3,FALSE)</f>
        <v>Curso de Ingles</v>
      </c>
      <c r="I739">
        <f>VLOOKUP(H739,'Informe 2025'!$C$6:$M$166,11,FALSE)</f>
        <v>12</v>
      </c>
    </row>
    <row r="740" spans="1:9" x14ac:dyDescent="0.25">
      <c r="A740" s="2">
        <v>60</v>
      </c>
      <c r="B740" t="str">
        <f>VLOOKUP(A740,'Informe 2025'!$1:$1048576,2,FALSE)</f>
        <v>JULIO</v>
      </c>
      <c r="C740" t="s">
        <v>351</v>
      </c>
      <c r="D740" s="20" t="str">
        <f>VLOOKUP(C740,ID!$1:$1048576,4,FALSE)</f>
        <v>103260</v>
      </c>
      <c r="E740" s="20" t="str">
        <f>VLOOKUP(C740,ID!$1:$1048576,3,FALSE)</f>
        <v xml:space="preserve"> JUAN MANUEL</v>
      </c>
      <c r="F740" s="20" t="str">
        <f>VLOOKUP(C740,ID!$1:$1048576,2,FALSE)</f>
        <v>GALLARDO MARIN</v>
      </c>
      <c r="G740" s="2" t="str">
        <f>VLOOKUP(D740,CORREOS!$A$2:$B$570,2,FALSE)</f>
        <v>JGMARIN@CL.LUCKIA.COM</v>
      </c>
      <c r="H740" s="24" t="str">
        <f>VLOOKUP(A740,'Informe 2025'!$A$5:$C$164,3,FALSE)</f>
        <v>Curso de Ingles</v>
      </c>
      <c r="I740">
        <f>VLOOKUP(H740,'Informe 2025'!$C$6:$M$166,11,FALSE)</f>
        <v>12</v>
      </c>
    </row>
    <row r="741" spans="1:9" x14ac:dyDescent="0.25">
      <c r="A741" s="2">
        <v>60</v>
      </c>
      <c r="B741" t="str">
        <f>VLOOKUP(A741,'Informe 2025'!$1:$1048576,2,FALSE)</f>
        <v>JULIO</v>
      </c>
      <c r="C741" t="s">
        <v>497</v>
      </c>
      <c r="D741" s="20" t="str">
        <f>VLOOKUP(C741,ID!$1:$1048576,4,FALSE)</f>
        <v>101379</v>
      </c>
      <c r="E741" s="20" t="str">
        <f>VLOOKUP(C741,ID!$1:$1048576,3,FALSE)</f>
        <v xml:space="preserve"> FABRIZZIO ANIBAL DUVAN</v>
      </c>
      <c r="F741" s="20" t="str">
        <f>VLOOKUP(C741,ID!$1:$1048576,2,FALSE)</f>
        <v>SALDAÑO CHAMORRO</v>
      </c>
      <c r="G741" s="2" t="str">
        <f>VLOOKUP(D741,CORREOS!$A$2:$B$570,2,FALSE)</f>
        <v>FABRIZZIOANIBALDUVAN.SALDANO@CL.LUCKIA.COM</v>
      </c>
      <c r="H741" s="24" t="str">
        <f>VLOOKUP(A741,'Informe 2025'!$A$5:$C$164,3,FALSE)</f>
        <v>Curso de Ingles</v>
      </c>
      <c r="I741">
        <f>VLOOKUP(H741,'Informe 2025'!$C$6:$M$166,11,FALSE)</f>
        <v>12</v>
      </c>
    </row>
    <row r="742" spans="1:9" x14ac:dyDescent="0.25">
      <c r="A742" s="2">
        <v>60</v>
      </c>
      <c r="B742" t="str">
        <f>VLOOKUP(A742,'Informe 2025'!$1:$1048576,2,FALSE)</f>
        <v>JULIO</v>
      </c>
      <c r="C742" t="s">
        <v>361</v>
      </c>
      <c r="D742" s="20" t="str">
        <f>VLOOKUP(C742,ID!$1:$1048576,4,FALSE)</f>
        <v>101731</v>
      </c>
      <c r="E742" s="20" t="str">
        <f>VLOOKUP(C742,ID!$1:$1048576,3,FALSE)</f>
        <v xml:space="preserve"> JAVIERA BEATRIZ</v>
      </c>
      <c r="F742" s="20" t="str">
        <f>VLOOKUP(C742,ID!$1:$1048576,2,FALSE)</f>
        <v>GODOY URRA</v>
      </c>
      <c r="G742" s="2" t="str">
        <f>VLOOKUP(D742,CORREOS!$A$2:$B$570,2,FALSE)</f>
        <v>JGODOY@ANTAYHOTELES.CL</v>
      </c>
      <c r="H742" s="24" t="str">
        <f>VLOOKUP(A742,'Informe 2025'!$A$5:$C$164,3,FALSE)</f>
        <v>Curso de Ingles</v>
      </c>
      <c r="I742">
        <f>VLOOKUP(H742,'Informe 2025'!$C$6:$M$166,11,FALSE)</f>
        <v>12</v>
      </c>
    </row>
    <row r="743" spans="1:9" x14ac:dyDescent="0.25">
      <c r="A743" s="2">
        <v>60</v>
      </c>
      <c r="B743" t="str">
        <f>VLOOKUP(A743,'Informe 2025'!$1:$1048576,2,FALSE)</f>
        <v>JULIO</v>
      </c>
      <c r="C743" t="s">
        <v>378</v>
      </c>
      <c r="D743" s="20" t="str">
        <f>VLOOKUP(C743,ID!$1:$1048576,4,FALSE)</f>
        <v>101407</v>
      </c>
      <c r="E743" s="20" t="str">
        <f>VLOOKUP(C743,ID!$1:$1048576,3,FALSE)</f>
        <v xml:space="preserve"> JOSEPH ALFREDO</v>
      </c>
      <c r="F743" s="20" t="str">
        <f>VLOOKUP(C743,ID!$1:$1048576,2,FALSE)</f>
        <v>HENRIQUEZ ARAYA</v>
      </c>
      <c r="G743" s="2" t="str">
        <f>VLOOKUP(D743,CORREOS!$A$2:$B$570,2,FALSE)</f>
        <v>JOSEPHALFREDO.HENRIQUEZ@CL.LUCKIA.COM</v>
      </c>
      <c r="H743" s="24" t="str">
        <f>VLOOKUP(A743,'Informe 2025'!$A$5:$C$164,3,FALSE)</f>
        <v>Curso de Ingles</v>
      </c>
      <c r="I743">
        <f>VLOOKUP(H743,'Informe 2025'!$C$6:$M$166,11,FALSE)</f>
        <v>12</v>
      </c>
    </row>
    <row r="744" spans="1:9" x14ac:dyDescent="0.25">
      <c r="A744" s="2">
        <v>60</v>
      </c>
      <c r="B744" t="str">
        <f>VLOOKUP(A744,'Informe 2025'!$1:$1048576,2,FALSE)</f>
        <v>JULIO</v>
      </c>
      <c r="C744" t="s">
        <v>534</v>
      </c>
      <c r="D744" s="20" t="str">
        <f>VLOOKUP(C744,ID!$1:$1048576,4,FALSE)</f>
        <v>102292</v>
      </c>
      <c r="E744" s="20" t="str">
        <f>VLOOKUP(C744,ID!$1:$1048576,3,FALSE)</f>
        <v xml:space="preserve"> ESKARLETT YUBINZA</v>
      </c>
      <c r="F744" s="20" t="str">
        <f>VLOOKUP(C744,ID!$1:$1048576,2,FALSE)</f>
        <v>ZULETA COLQUE</v>
      </c>
      <c r="G744" s="2" t="str">
        <f>VLOOKUP(D744,CORREOS!$A$2:$B$570,2,FALSE)</f>
        <v>EZCOLQUE@CL.LUCKIA.COM</v>
      </c>
      <c r="H744" s="24" t="str">
        <f>VLOOKUP(A744,'Informe 2025'!$A$5:$C$164,3,FALSE)</f>
        <v>Curso de Ingles</v>
      </c>
      <c r="I744">
        <f>VLOOKUP(H744,'Informe 2025'!$C$6:$M$166,11,FALSE)</f>
        <v>12</v>
      </c>
    </row>
    <row r="745" spans="1:9" x14ac:dyDescent="0.25">
      <c r="A745" s="2">
        <v>61</v>
      </c>
      <c r="B745" t="str">
        <f>VLOOKUP(A745,'Informe 2025'!$1:$1048576,2,FALSE)</f>
        <v>JULIO</v>
      </c>
      <c r="C745" s="25" t="s">
        <v>449</v>
      </c>
      <c r="D745" s="20" t="str">
        <f>VLOOKUP(C745,ID!$1:$1048576,4,FALSE)</f>
        <v>102870</v>
      </c>
      <c r="E745" s="20" t="str">
        <f>VLOOKUP(C745,ID!$1:$1048576,3,FALSE)</f>
        <v xml:space="preserve"> MARCELA DEL ROSARIO</v>
      </c>
      <c r="F745" s="20" t="str">
        <f>VLOOKUP(C745,ID!$1:$1048576,2,FALSE)</f>
        <v>PACO PACO</v>
      </c>
      <c r="G745" s="2" t="str">
        <f>VLOOKUP(D745,CORREOS!$A$2:$B$570,2,FALSE)</f>
        <v>MPACO@CL.LUCKIA.COM</v>
      </c>
      <c r="H745" s="24" t="str">
        <f>VLOOKUP(A745,'Informe 2025'!$A$5:$C$164,3,FALSE)</f>
        <v>Curso de refrigeracion</v>
      </c>
      <c r="I745">
        <f>VLOOKUP(H745,'Informe 2025'!$C$6:$M$166,11,FALSE)</f>
        <v>60</v>
      </c>
    </row>
    <row r="746" spans="1:9" x14ac:dyDescent="0.25">
      <c r="A746" s="2">
        <v>62</v>
      </c>
      <c r="B746" t="str">
        <f>VLOOKUP(A746,'Informe 2025'!$1:$1048576,2,FALSE)</f>
        <v>JULIO</v>
      </c>
      <c r="C746" t="s">
        <v>516</v>
      </c>
      <c r="D746" s="20" t="str">
        <f>VLOOKUP(C746,ID!$1:$1048576,4,FALSE)</f>
        <v>101690</v>
      </c>
      <c r="E746" s="20" t="str">
        <f>VLOOKUP(C746,ID!$1:$1048576,3,FALSE)</f>
        <v xml:space="preserve"> ALEJANDRA ANDREA</v>
      </c>
      <c r="F746" s="20" t="str">
        <f>VLOOKUP(C746,ID!$1:$1048576,2,FALSE)</f>
        <v>URIBE CHANDIA</v>
      </c>
      <c r="G746" s="2" t="str">
        <f>VLOOKUP(D746,CORREOS!$A$2:$B$570,2,FALSE)</f>
        <v>ALEJANDRAANDREA.URIBE@CL.LUCKIA.COM</v>
      </c>
      <c r="H746" s="24" t="str">
        <f>VLOOKUP(A746,'Informe 2025'!$A$5:$C$164,3,FALSE)</f>
        <v>Curso Reconocimiento de Billetes</v>
      </c>
      <c r="I746">
        <f>VLOOKUP(H746,'Informe 2025'!$C$6:$M$166,11,FALSE)</f>
        <v>1.5</v>
      </c>
    </row>
    <row r="747" spans="1:9" x14ac:dyDescent="0.25">
      <c r="A747" s="2">
        <v>62</v>
      </c>
      <c r="B747" t="str">
        <f>VLOOKUP(A747,'Informe 2025'!$1:$1048576,2,FALSE)</f>
        <v>JULIO</v>
      </c>
      <c r="C747" t="s">
        <v>498</v>
      </c>
      <c r="D747" s="20" t="str">
        <f>VLOOKUP(C747,ID!$1:$1048576,4,FALSE)</f>
        <v>101825</v>
      </c>
      <c r="E747" s="20" t="str">
        <f>VLOOKUP(C747,ID!$1:$1048576,3,FALSE)</f>
        <v xml:space="preserve"> GISSELA ANDREA</v>
      </c>
      <c r="F747" s="20" t="str">
        <f>VLOOKUP(C747,ID!$1:$1048576,2,FALSE)</f>
        <v>SANCHEZ QUISPE</v>
      </c>
      <c r="G747" s="2" t="str">
        <f>VLOOKUP(D747,CORREOS!$A$2:$B$570,2,FALSE)</f>
        <v>GSQUISPE@CL.LUCKIA.COM</v>
      </c>
      <c r="H747" s="24" t="str">
        <f>VLOOKUP(A747,'Informe 2025'!$A$5:$C$164,3,FALSE)</f>
        <v>Curso Reconocimiento de Billetes</v>
      </c>
      <c r="I747">
        <f>VLOOKUP(H747,'Informe 2025'!$C$6:$M$166,11,FALSE)</f>
        <v>1.5</v>
      </c>
    </row>
    <row r="748" spans="1:9" x14ac:dyDescent="0.25">
      <c r="A748" s="2">
        <v>62</v>
      </c>
      <c r="B748" t="str">
        <f>VLOOKUP(A748,'Informe 2025'!$1:$1048576,2,FALSE)</f>
        <v>JULIO</v>
      </c>
      <c r="C748" t="s">
        <v>465</v>
      </c>
      <c r="D748" s="20" t="str">
        <f>VLOOKUP(C748,ID!$1:$1048576,4,FALSE)</f>
        <v>103311</v>
      </c>
      <c r="E748" s="20" t="str">
        <f>VLOOKUP(C748,ID!$1:$1048576,3,FALSE)</f>
        <v xml:space="preserve"> JOHNNY ALEXANDER</v>
      </c>
      <c r="F748" s="20" t="str">
        <f>VLOOKUP(C748,ID!$1:$1048576,2,FALSE)</f>
        <v>PIÑONES RODENAS</v>
      </c>
      <c r="G748" s="2" t="str">
        <f>VLOOKUP(D748,CORREOS!$A$2:$B$570,2,FALSE)</f>
        <v>JPINONES@CL.LUCKIA.COM</v>
      </c>
      <c r="H748" s="24" t="str">
        <f>VLOOKUP(A748,'Informe 2025'!$A$5:$C$164,3,FALSE)</f>
        <v>Curso Reconocimiento de Billetes</v>
      </c>
      <c r="I748">
        <f>VLOOKUP(H748,'Informe 2025'!$C$6:$M$166,11,FALSE)</f>
        <v>1.5</v>
      </c>
    </row>
    <row r="749" spans="1:9" x14ac:dyDescent="0.25">
      <c r="A749" s="2">
        <v>62</v>
      </c>
      <c r="B749" t="str">
        <f>VLOOKUP(A749,'Informe 2025'!$1:$1048576,2,FALSE)</f>
        <v>JULIO</v>
      </c>
      <c r="C749" t="s">
        <v>331</v>
      </c>
      <c r="D749" s="20" t="str">
        <f>VLOOKUP(C749,ID!$1:$1048576,4,FALSE)</f>
        <v>102895</v>
      </c>
      <c r="E749" s="20" t="str">
        <f>VLOOKUP(C749,ID!$1:$1048576,3,FALSE)</f>
        <v xml:space="preserve"> LILIAN ALEXANDRA</v>
      </c>
      <c r="F749" s="20" t="str">
        <f>VLOOKUP(C749,ID!$1:$1048576,2,FALSE)</f>
        <v>DELZO ALTAMIRANO</v>
      </c>
      <c r="G749" s="2" t="str">
        <f>VLOOKUP(D749,CORREOS!$A$2:$B$570,2,FALSE)</f>
        <v>LDELZO@CL.LUCKIA.COM</v>
      </c>
      <c r="H749" s="24" t="str">
        <f>VLOOKUP(A749,'Informe 2025'!$A$5:$C$164,3,FALSE)</f>
        <v>Curso Reconocimiento de Billetes</v>
      </c>
      <c r="I749">
        <f>VLOOKUP(H749,'Informe 2025'!$C$6:$M$166,11,FALSE)</f>
        <v>1.5</v>
      </c>
    </row>
    <row r="750" spans="1:9" x14ac:dyDescent="0.25">
      <c r="A750" s="2">
        <v>62</v>
      </c>
      <c r="B750" t="str">
        <f>VLOOKUP(A750,'Informe 2025'!$1:$1048576,2,FALSE)</f>
        <v>JULIO</v>
      </c>
      <c r="C750" t="s">
        <v>481</v>
      </c>
      <c r="D750" s="20" t="str">
        <f>VLOOKUP(C750,ID!$1:$1048576,4,FALSE)</f>
        <v>101689</v>
      </c>
      <c r="E750" s="20" t="str">
        <f>VLOOKUP(C750,ID!$1:$1048576,3,FALSE)</f>
        <v xml:space="preserve"> LUIS ESTEBAN</v>
      </c>
      <c r="F750" s="20" t="str">
        <f>VLOOKUP(C750,ID!$1:$1048576,2,FALSE)</f>
        <v>RIVERA ALTAMIRANO</v>
      </c>
      <c r="G750" s="2" t="str">
        <f>VLOOKUP(D750,CORREOS!$A$2:$B$570,2,FALSE)</f>
        <v>LUISESTEBAN.RIVERA@CL.LUCKIA.COM</v>
      </c>
      <c r="H750" s="24" t="str">
        <f>VLOOKUP(A750,'Informe 2025'!$A$5:$C$164,3,FALSE)</f>
        <v>Curso Reconocimiento de Billetes</v>
      </c>
      <c r="I750">
        <f>VLOOKUP(H750,'Informe 2025'!$C$6:$M$166,11,FALSE)</f>
        <v>1.5</v>
      </c>
    </row>
    <row r="751" spans="1:9" x14ac:dyDescent="0.25">
      <c r="A751" s="2">
        <v>62</v>
      </c>
      <c r="B751" t="str">
        <f>VLOOKUP(A751,'Informe 2025'!$1:$1048576,2,FALSE)</f>
        <v>JULIO</v>
      </c>
      <c r="C751" t="s">
        <v>489</v>
      </c>
      <c r="D751" s="20" t="str">
        <f>VLOOKUP(C751,ID!$1:$1048576,4,FALSE)</f>
        <v>102827</v>
      </c>
      <c r="E751" s="20" t="str">
        <f>VLOOKUP(C751,ID!$1:$1048576,3,FALSE)</f>
        <v xml:space="preserve"> NICOLAS IGNACIO</v>
      </c>
      <c r="F751" s="20" t="str">
        <f>VLOOKUP(C751,ID!$1:$1048576,2,FALSE)</f>
        <v>ROJAS HENRIQUEZ</v>
      </c>
      <c r="G751" s="2" t="str">
        <f>VLOOKUP(D751,CORREOS!$A$2:$B$570,2,FALSE)</f>
        <v>NRHENRIQUEZ@CL.LUCKIA.COM</v>
      </c>
      <c r="H751" s="24" t="str">
        <f>VLOOKUP(A751,'Informe 2025'!$A$5:$C$164,3,FALSE)</f>
        <v>Curso Reconocimiento de Billetes</v>
      </c>
      <c r="I751">
        <f>VLOOKUP(H751,'Informe 2025'!$C$6:$M$166,11,FALSE)</f>
        <v>1.5</v>
      </c>
    </row>
    <row r="752" spans="1:9" x14ac:dyDescent="0.25">
      <c r="A752" s="2">
        <v>62</v>
      </c>
      <c r="B752" t="str">
        <f>VLOOKUP(A752,'Informe 2025'!$1:$1048576,2,FALSE)</f>
        <v>JULIO</v>
      </c>
      <c r="C752" t="s">
        <v>417</v>
      </c>
      <c r="D752" s="20" t="str">
        <f>VLOOKUP(C752,ID!$1:$1048576,4,FALSE)</f>
        <v>103031</v>
      </c>
      <c r="E752" s="20" t="str">
        <f>VLOOKUP(C752,ID!$1:$1048576,3,FALSE)</f>
        <v xml:space="preserve"> PATRICIA</v>
      </c>
      <c r="F752" s="20" t="str">
        <f>VLOOKUP(C752,ID!$1:$1048576,2,FALSE)</f>
        <v>MIRANDA CARREÑO</v>
      </c>
      <c r="G752" s="2" t="str">
        <f>VLOOKUP(D752,CORREOS!$A$2:$B$570,2,FALSE)</f>
        <v>PMIRANDA@CL.LUCKIA.COM</v>
      </c>
      <c r="H752" s="24" t="str">
        <f>VLOOKUP(A752,'Informe 2025'!$A$5:$C$164,3,FALSE)</f>
        <v>Curso Reconocimiento de Billetes</v>
      </c>
      <c r="I752">
        <f>VLOOKUP(H752,'Informe 2025'!$C$6:$M$166,11,FALSE)</f>
        <v>1.5</v>
      </c>
    </row>
    <row r="753" spans="1:9" x14ac:dyDescent="0.25">
      <c r="A753" s="2">
        <v>62</v>
      </c>
      <c r="B753" t="str">
        <f>VLOOKUP(A753,'Informe 2025'!$1:$1048576,2,FALSE)</f>
        <v>JULIO</v>
      </c>
      <c r="C753" t="s">
        <v>315</v>
      </c>
      <c r="D753" s="20" t="str">
        <f>VLOOKUP(C753,ID!$1:$1048576,4,FALSE)</f>
        <v>102864</v>
      </c>
      <c r="E753" s="20" t="str">
        <f>VLOOKUP(C753,ID!$1:$1048576,3,FALSE)</f>
        <v xml:space="preserve"> ALEJANDRA CECILIA</v>
      </c>
      <c r="F753" s="20" t="str">
        <f>VLOOKUP(C753,ID!$1:$1048576,2,FALSE)</f>
        <v>CONDORI VALENZUELA</v>
      </c>
      <c r="G753" s="2" t="str">
        <f>VLOOKUP(D753,CORREOS!$A$2:$B$570,2,FALSE)</f>
        <v>ACONDORI@ANTAYHOTELES.CL</v>
      </c>
      <c r="H753" s="24" t="str">
        <f>VLOOKUP(A753,'Informe 2025'!$A$5:$C$164,3,FALSE)</f>
        <v>Curso Reconocimiento de Billetes</v>
      </c>
      <c r="I753">
        <f>VLOOKUP(H753,'Informe 2025'!$C$6:$M$166,11,FALSE)</f>
        <v>1.5</v>
      </c>
    </row>
    <row r="754" spans="1:9" x14ac:dyDescent="0.25">
      <c r="A754" s="2">
        <v>62</v>
      </c>
      <c r="B754" t="str">
        <f>VLOOKUP(A754,'Informe 2025'!$1:$1048576,2,FALSE)</f>
        <v>JULIO</v>
      </c>
      <c r="C754" t="s">
        <v>283</v>
      </c>
      <c r="D754" s="20" t="str">
        <f>VLOOKUP(C754,ID!$1:$1048576,4,FALSE)</f>
        <v>102996</v>
      </c>
      <c r="E754" s="20" t="str">
        <f>VLOOKUP(C754,ID!$1:$1048576,3,FALSE)</f>
        <v xml:space="preserve"> CATALINA VICTORIA</v>
      </c>
      <c r="F754" s="20" t="str">
        <f>VLOOKUP(C754,ID!$1:$1048576,2,FALSE)</f>
        <v>CABEZAS MENA</v>
      </c>
      <c r="G754" s="2" t="str">
        <f>VLOOKUP(D754,CORREOS!$A$2:$B$570,2,FALSE)</f>
        <v>CCABEZAS@ANTAYHOTELES.CL</v>
      </c>
      <c r="H754" s="24" t="str">
        <f>VLOOKUP(A754,'Informe 2025'!$A$5:$C$164,3,FALSE)</f>
        <v>Curso Reconocimiento de Billetes</v>
      </c>
      <c r="I754">
        <f>VLOOKUP(H754,'Informe 2025'!$C$6:$M$166,11,FALSE)</f>
        <v>1.5</v>
      </c>
    </row>
    <row r="755" spans="1:9" x14ac:dyDescent="0.25">
      <c r="A755" s="2">
        <v>62</v>
      </c>
      <c r="B755" t="str">
        <f>VLOOKUP(A755,'Informe 2025'!$1:$1048576,2,FALSE)</f>
        <v>JULIO</v>
      </c>
      <c r="C755" t="s">
        <v>1635</v>
      </c>
      <c r="D755" s="20" t="str">
        <f>VLOOKUP(C755,ID!$1:$1048576,4,FALSE)</f>
        <v>103980</v>
      </c>
      <c r="E755" s="20" t="str">
        <f>VLOOKUP(C755,ID!$1:$1048576,3,FALSE)</f>
        <v xml:space="preserve"> ESTEFANY ESTRELLA</v>
      </c>
      <c r="F755" s="20" t="str">
        <f>VLOOKUP(C755,ID!$1:$1048576,2,FALSE)</f>
        <v>BEAS GUILLEN</v>
      </c>
      <c r="G755" s="2" t="e">
        <f>VLOOKUP(D755,CORREOS!$A$2:$B$570,2,FALSE)</f>
        <v>#N/A</v>
      </c>
      <c r="H755" s="24" t="str">
        <f>VLOOKUP(A755,'Informe 2025'!$A$5:$C$164,3,FALSE)</f>
        <v>Curso Reconocimiento de Billetes</v>
      </c>
      <c r="I755">
        <f>VLOOKUP(H755,'Informe 2025'!$C$6:$M$166,11,FALSE)</f>
        <v>1.5</v>
      </c>
    </row>
    <row r="756" spans="1:9" x14ac:dyDescent="0.25">
      <c r="A756" s="2">
        <v>62</v>
      </c>
      <c r="B756" t="str">
        <f>VLOOKUP(A756,'Informe 2025'!$1:$1048576,2,FALSE)</f>
        <v>JULIO</v>
      </c>
      <c r="C756" t="s">
        <v>398</v>
      </c>
      <c r="D756" s="20" t="str">
        <f>VLOOKUP(C756,ID!$1:$1048576,4,FALSE)</f>
        <v>101664</v>
      </c>
      <c r="E756" s="20" t="str">
        <f>VLOOKUP(C756,ID!$1:$1048576,3,FALSE)</f>
        <v xml:space="preserve"> EVELYN DENISSE</v>
      </c>
      <c r="F756" s="20" t="str">
        <f>VLOOKUP(C756,ID!$1:$1048576,2,FALSE)</f>
        <v>LOPEZ LORCA</v>
      </c>
      <c r="G756" s="2" t="str">
        <f>VLOOKUP(D756,CORREOS!$A$2:$B$570,2,FALSE)</f>
        <v>EVELYNDENISSE.LOPEZ@ANTAYHOTELES.CL</v>
      </c>
      <c r="H756" s="24" t="str">
        <f>VLOOKUP(A756,'Informe 2025'!$A$5:$C$164,3,FALSE)</f>
        <v>Curso Reconocimiento de Billetes</v>
      </c>
      <c r="I756">
        <f>VLOOKUP(H756,'Informe 2025'!$C$6:$M$166,11,FALSE)</f>
        <v>1.5</v>
      </c>
    </row>
    <row r="757" spans="1:9" x14ac:dyDescent="0.25">
      <c r="A757" s="2">
        <v>62</v>
      </c>
      <c r="B757" t="str">
        <f>VLOOKUP(A757,'Informe 2025'!$1:$1048576,2,FALSE)</f>
        <v>JULIO</v>
      </c>
      <c r="C757" t="s">
        <v>289</v>
      </c>
      <c r="D757" s="20" t="str">
        <f>VLOOKUP(C757,ID!$1:$1048576,4,FALSE)</f>
        <v>101866</v>
      </c>
      <c r="E757" s="20" t="str">
        <f>VLOOKUP(C757,ID!$1:$1048576,3,FALSE)</f>
        <v xml:space="preserve"> MELANIE EUGENIA</v>
      </c>
      <c r="F757" s="20" t="str">
        <f>VLOOKUP(C757,ID!$1:$1048576,2,FALSE)</f>
        <v>CARMONA JAIME</v>
      </c>
      <c r="G757" s="2" t="str">
        <f>VLOOKUP(D757,CORREOS!$A$2:$B$570,2,FALSE)</f>
        <v>MCJAIME@ANTAYHOTELES.CL</v>
      </c>
      <c r="H757" s="24" t="str">
        <f>VLOOKUP(A757,'Informe 2025'!$A$5:$C$164,3,FALSE)</f>
        <v>Curso Reconocimiento de Billetes</v>
      </c>
      <c r="I757">
        <f>VLOOKUP(H757,'Informe 2025'!$C$6:$M$166,11,FALSE)</f>
        <v>1.5</v>
      </c>
    </row>
    <row r="758" spans="1:9" x14ac:dyDescent="0.25">
      <c r="A758" s="2">
        <v>62</v>
      </c>
      <c r="B758" t="str">
        <f>VLOOKUP(A758,'Informe 2025'!$1:$1048576,2,FALSE)</f>
        <v>JULIO</v>
      </c>
      <c r="C758" t="s">
        <v>284</v>
      </c>
      <c r="D758" s="20" t="str">
        <f>VLOOKUP(C758,ID!$1:$1048576,4,FALSE)</f>
        <v>102419</v>
      </c>
      <c r="E758" s="20" t="str">
        <f>VLOOKUP(C758,ID!$1:$1048576,3,FALSE)</f>
        <v xml:space="preserve"> NICOL ANAHIS</v>
      </c>
      <c r="F758" s="20" t="str">
        <f>VLOOKUP(C758,ID!$1:$1048576,2,FALSE)</f>
        <v>CACERES CALLE</v>
      </c>
      <c r="G758" s="2" t="str">
        <f>VLOOKUP(D758,CORREOS!$A$2:$B$570,2,FALSE)</f>
        <v>NCACERES@ANTAYHOTELES.CL</v>
      </c>
      <c r="H758" s="24" t="str">
        <f>VLOOKUP(A758,'Informe 2025'!$A$5:$C$164,3,FALSE)</f>
        <v>Curso Reconocimiento de Billetes</v>
      </c>
      <c r="I758">
        <f>VLOOKUP(H758,'Informe 2025'!$C$6:$M$166,11,FALSE)</f>
        <v>1.5</v>
      </c>
    </row>
    <row r="759" spans="1:9" x14ac:dyDescent="0.25">
      <c r="A759" s="2">
        <v>62</v>
      </c>
      <c r="B759" t="str">
        <f>VLOOKUP(A759,'Informe 2025'!$1:$1048576,2,FALSE)</f>
        <v>JULIO</v>
      </c>
      <c r="C759" t="s">
        <v>1626</v>
      </c>
      <c r="D759" s="20" t="str">
        <f>VLOOKUP(C759,ID!$1:$1048576,4,FALSE)</f>
        <v>103796</v>
      </c>
      <c r="E759" s="20" t="str">
        <f>VLOOKUP(C759,ID!$1:$1048576,3,FALSE)</f>
        <v xml:space="preserve"> VALENTINA PAZ</v>
      </c>
      <c r="F759" s="20" t="str">
        <f>VLOOKUP(C759,ID!$1:$1048576,2,FALSE)</f>
        <v>ARAYA FLORES</v>
      </c>
      <c r="G759" s="2" t="e">
        <f>VLOOKUP(D759,CORREOS!$A$2:$B$570,2,FALSE)</f>
        <v>#N/A</v>
      </c>
      <c r="H759" s="24" t="str">
        <f>VLOOKUP(A759,'Informe 2025'!$A$5:$C$164,3,FALSE)</f>
        <v>Curso Reconocimiento de Billetes</v>
      </c>
      <c r="I759">
        <f>VLOOKUP(H759,'Informe 2025'!$C$6:$M$166,11,FALSE)</f>
        <v>1.5</v>
      </c>
    </row>
    <row r="760" spans="1:9" x14ac:dyDescent="0.25">
      <c r="A760" s="2">
        <v>63</v>
      </c>
      <c r="B760" t="str">
        <f>VLOOKUP(A760,'Informe 2025'!$1:$1048576,2,FALSE)</f>
        <v>JULIO</v>
      </c>
      <c r="C760" t="s">
        <v>322</v>
      </c>
      <c r="D760" s="20" t="str">
        <f>VLOOKUP(C760,ID!$1:$1048576,4,FALSE)</f>
        <v>101506</v>
      </c>
      <c r="E760" s="20" t="str">
        <f>VLOOKUP(C760,ID!$1:$1048576,3,FALSE)</f>
        <v xml:space="preserve"> PAOLA MAGDALENA</v>
      </c>
      <c r="F760" s="20" t="str">
        <f>VLOOKUP(C760,ID!$1:$1048576,2,FALSE)</f>
        <v>CORTES CORTES</v>
      </c>
      <c r="G760" s="2" t="str">
        <f>VLOOKUP(D760,CORREOS!$A$2:$B$570,2,FALSE)</f>
        <v>PAOLA.CORTES@CL.LUCKIA.COM</v>
      </c>
      <c r="H760" s="24" t="str">
        <f>VLOOKUP(A760,'Informe 2025'!$A$5:$C$164,3,FALSE)</f>
        <v>Curso "Felicidad y gratitud"</v>
      </c>
      <c r="I760">
        <f>VLOOKUP(H760,'Informe 2025'!$C$6:$M$166,11,FALSE)</f>
        <v>2</v>
      </c>
    </row>
    <row r="761" spans="1:9" x14ac:dyDescent="0.25">
      <c r="A761" s="2">
        <v>63</v>
      </c>
      <c r="B761" t="str">
        <f>VLOOKUP(A761,'Informe 2025'!$1:$1048576,2,FALSE)</f>
        <v>JULIO</v>
      </c>
      <c r="C761" t="s">
        <v>493</v>
      </c>
      <c r="D761" s="20" t="str">
        <f>VLOOKUP(C761,ID!$1:$1048576,4,FALSE)</f>
        <v>102704</v>
      </c>
      <c r="E761" s="20" t="str">
        <f>VLOOKUP(C761,ID!$1:$1048576,3,FALSE)</f>
        <v xml:space="preserve"> DIEGO ENRIQUE</v>
      </c>
      <c r="F761" s="20" t="str">
        <f>VLOOKUP(C761,ID!$1:$1048576,2,FALSE)</f>
        <v>SAJAMA CRUZ</v>
      </c>
      <c r="G761" s="2" t="str">
        <f>VLOOKUP(D761,CORREOS!$A$2:$B$570,2,FALSE)</f>
        <v>DSAJAMA@CL.LUCKIA.COM</v>
      </c>
      <c r="H761" s="24" t="str">
        <f>VLOOKUP(A761,'Informe 2025'!$A$5:$C$164,3,FALSE)</f>
        <v>Curso "Felicidad y gratitud"</v>
      </c>
      <c r="I761">
        <f>VLOOKUP(H761,'Informe 2025'!$C$6:$M$166,11,FALSE)</f>
        <v>2</v>
      </c>
    </row>
    <row r="762" spans="1:9" x14ac:dyDescent="0.25">
      <c r="A762" s="2">
        <v>63</v>
      </c>
      <c r="B762" t="str">
        <f>VLOOKUP(A762,'Informe 2025'!$1:$1048576,2,FALSE)</f>
        <v>JULIO</v>
      </c>
      <c r="C762" t="s">
        <v>355</v>
      </c>
      <c r="D762" s="20" t="str">
        <f>VLOOKUP(C762,ID!$1:$1048576,4,FALSE)</f>
        <v>102270</v>
      </c>
      <c r="E762" s="20" t="str">
        <f>VLOOKUP(C762,ID!$1:$1048576,3,FALSE)</f>
        <v xml:space="preserve"> FRANKIE IVAN</v>
      </c>
      <c r="F762" s="20" t="str">
        <f>VLOOKUP(C762,ID!$1:$1048576,2,FALSE)</f>
        <v>GARCIA URRUTIA</v>
      </c>
      <c r="G762" s="2" t="str">
        <f>VLOOKUP(D762,CORREOS!$A$2:$B$570,2,FALSE)</f>
        <v>FGURRUTIA@EGASACHILE.COM</v>
      </c>
      <c r="H762" s="24" t="str">
        <f>VLOOKUP(A762,'Informe 2025'!$A$5:$C$164,3,FALSE)</f>
        <v>Curso "Felicidad y gratitud"</v>
      </c>
      <c r="I762">
        <f>VLOOKUP(H762,'Informe 2025'!$C$6:$M$166,11,FALSE)</f>
        <v>2</v>
      </c>
    </row>
    <row r="763" spans="1:9" x14ac:dyDescent="0.25">
      <c r="A763" s="2">
        <v>55</v>
      </c>
      <c r="B763" t="str">
        <f>VLOOKUP(A763,'Informe 2025'!$1:$1048576,2,FALSE)</f>
        <v>JULIO</v>
      </c>
      <c r="C763" t="s">
        <v>1650</v>
      </c>
      <c r="D763" s="20" t="str">
        <f>VLOOKUP(C763,ID!$1:$1048576,4,FALSE)</f>
        <v>103887</v>
      </c>
      <c r="E763" s="20" t="str">
        <f>VLOOKUP(C763,ID!$1:$1048576,3,FALSE)</f>
        <v xml:space="preserve"> MAURICIO ALEJANDRO</v>
      </c>
      <c r="F763" s="20" t="str">
        <f>VLOOKUP(C763,ID!$1:$1048576,2,FALSE)</f>
        <v>LOPEZ AGUILERA</v>
      </c>
      <c r="G763" s="2" t="e">
        <f>VLOOKUP(D763,CORREOS!$A$2:$B$570,2,FALSE)</f>
        <v>#N/A</v>
      </c>
      <c r="H763" s="24" t="str">
        <f>VLOOKUP(A763,'Informe 2025'!$A$5:$C$164,3,FALSE)</f>
        <v>Induccion Indefinidos</v>
      </c>
      <c r="I763">
        <f>VLOOKUP(H763,'Informe 2025'!$C$6:$M$166,11,FALSE)</f>
        <v>2</v>
      </c>
    </row>
    <row r="764" spans="1:9" x14ac:dyDescent="0.25">
      <c r="A764" s="2">
        <v>55</v>
      </c>
      <c r="B764" t="str">
        <f>VLOOKUP(A764,'Informe 2025'!$1:$1048576,2,FALSE)</f>
        <v>JULIO</v>
      </c>
      <c r="C764" t="s">
        <v>1943</v>
      </c>
      <c r="D764" s="20" t="str">
        <f>VLOOKUP(C764,ID!$1:$1048576,4,FALSE)</f>
        <v>103462</v>
      </c>
      <c r="E764" s="20" t="str">
        <f>VLOOKUP(C764,ID!$1:$1048576,3,FALSE)</f>
        <v xml:space="preserve"> ALEXANDRA SIMONNE</v>
      </c>
      <c r="F764" s="20" t="str">
        <f>VLOOKUP(C764,ID!$1:$1048576,2,FALSE)</f>
        <v>OLAVE SANTIAGO</v>
      </c>
      <c r="G764" s="2" t="e">
        <f>VLOOKUP(D764,CORREOS!$A$2:$B$570,2,FALSE)</f>
        <v>#N/A</v>
      </c>
      <c r="H764" s="24" t="str">
        <f>VLOOKUP(A764,'Informe 2025'!$A$5:$C$164,3,FALSE)</f>
        <v>Induccion Indefinidos</v>
      </c>
      <c r="I764">
        <f>VLOOKUP(H764,'Informe 2025'!$C$6:$M$166,11,FALSE)</f>
        <v>2</v>
      </c>
    </row>
    <row r="765" spans="1:9" x14ac:dyDescent="0.25">
      <c r="A765" s="2">
        <v>55</v>
      </c>
      <c r="B765" t="str">
        <f>VLOOKUP(A765,'Informe 2025'!$1:$1048576,2,FALSE)</f>
        <v>JULIO</v>
      </c>
      <c r="C765" t="s">
        <v>1631</v>
      </c>
      <c r="D765" s="20" t="str">
        <f>VLOOKUP(C765,ID!$1:$1048576,4,FALSE)</f>
        <v>102197</v>
      </c>
      <c r="E765" s="20" t="str">
        <f>VLOOKUP(C765,ID!$1:$1048576,3,FALSE)</f>
        <v xml:space="preserve"> JUAN MAYKOL LUIS</v>
      </c>
      <c r="F765" s="20" t="str">
        <f>VLOOKUP(C765,ID!$1:$1048576,2,FALSE)</f>
        <v>BAEZA COFRÉ</v>
      </c>
      <c r="G765" s="2" t="e">
        <f>VLOOKUP(D765,CORREOS!$A$2:$B$570,2,FALSE)</f>
        <v>#N/A</v>
      </c>
      <c r="H765" s="24" t="str">
        <f>VLOOKUP(A765,'Informe 2025'!$A$5:$C$164,3,FALSE)</f>
        <v>Induccion Indefinidos</v>
      </c>
      <c r="I765">
        <f>VLOOKUP(H765,'Informe 2025'!$C$6:$M$166,11,FALSE)</f>
        <v>2</v>
      </c>
    </row>
    <row r="766" spans="1:9" x14ac:dyDescent="0.25">
      <c r="A766" s="2">
        <v>55</v>
      </c>
      <c r="B766" t="str">
        <f>VLOOKUP(A766,'Informe 2025'!$1:$1048576,2,FALSE)</f>
        <v>JULIO</v>
      </c>
      <c r="C766" t="s">
        <v>1659</v>
      </c>
      <c r="D766" s="20" t="str">
        <f>VLOOKUP(C766,ID!$1:$1048576,4,FALSE)</f>
        <v>104043</v>
      </c>
      <c r="E766" s="20" t="str">
        <f>VLOOKUP(C766,ID!$1:$1048576,3,FALSE)</f>
        <v xml:space="preserve"> GUSTAVO ENRIQUE</v>
      </c>
      <c r="F766" s="20" t="str">
        <f>VLOOKUP(C766,ID!$1:$1048576,2,FALSE)</f>
        <v>PIÑATE ANDUEZA</v>
      </c>
      <c r="G766" s="2" t="e">
        <f>VLOOKUP(D766,CORREOS!$A$2:$B$570,2,FALSE)</f>
        <v>#N/A</v>
      </c>
      <c r="H766" s="24" t="str">
        <f>VLOOKUP(A766,'Informe 2025'!$A$5:$C$164,3,FALSE)</f>
        <v>Induccion Indefinidos</v>
      </c>
      <c r="I766">
        <f>VLOOKUP(H766,'Informe 2025'!$C$6:$M$166,11,FALSE)</f>
        <v>2</v>
      </c>
    </row>
    <row r="767" spans="1:9" x14ac:dyDescent="0.25">
      <c r="A767" s="2">
        <v>55</v>
      </c>
      <c r="B767" t="str">
        <f>VLOOKUP(A767,'Informe 2025'!$1:$1048576,2,FALSE)</f>
        <v>JULIO</v>
      </c>
      <c r="C767" t="s">
        <v>1667</v>
      </c>
      <c r="D767" s="20" t="str">
        <f>VLOOKUP(C767,ID!$1:$1048576,4,FALSE)</f>
        <v>104042</v>
      </c>
      <c r="E767" s="20" t="str">
        <f>VLOOKUP(C767,ID!$1:$1048576,3,FALSE)</f>
        <v xml:space="preserve"> DIEGO IGNACIO</v>
      </c>
      <c r="F767" s="20" t="str">
        <f>VLOOKUP(C767,ID!$1:$1048576,2,FALSE)</f>
        <v>ZEPEDA VALDES</v>
      </c>
      <c r="G767" s="2" t="e">
        <f>VLOOKUP(D767,CORREOS!$A$2:$B$570,2,FALSE)</f>
        <v>#N/A</v>
      </c>
      <c r="H767" s="24" t="str">
        <f>VLOOKUP(A767,'Informe 2025'!$A$5:$C$164,3,FALSE)</f>
        <v>Induccion Indefinidos</v>
      </c>
      <c r="I767">
        <f>VLOOKUP(H767,'Informe 2025'!$C$6:$M$166,11,FALSE)</f>
        <v>2</v>
      </c>
    </row>
    <row r="768" spans="1:9" x14ac:dyDescent="0.25">
      <c r="A768" s="2">
        <v>55</v>
      </c>
      <c r="B768" t="str">
        <f>VLOOKUP(A768,'Informe 2025'!$1:$1048576,2,FALSE)</f>
        <v>JULIO</v>
      </c>
      <c r="C768" t="s">
        <v>1621</v>
      </c>
      <c r="D768" s="20" t="str">
        <f>VLOOKUP(C768,ID!$1:$1048576,4,FALSE)</f>
        <v>102317</v>
      </c>
      <c r="E768" s="20" t="str">
        <f>VLOOKUP(C768,ID!$1:$1048576,3,FALSE)</f>
        <v xml:space="preserve"> BIANCA DANIELA</v>
      </c>
      <c r="F768" s="20" t="str">
        <f>VLOOKUP(C768,ID!$1:$1048576,2,FALSE)</f>
        <v>AGUILERA JIMENEZ</v>
      </c>
      <c r="G768" s="2" t="e">
        <f>VLOOKUP(D768,CORREOS!$A$2:$B$570,2,FALSE)</f>
        <v>#N/A</v>
      </c>
      <c r="H768" s="24" t="str">
        <f>VLOOKUP(A768,'Informe 2025'!$A$5:$C$164,3,FALSE)</f>
        <v>Induccion Indefinidos</v>
      </c>
      <c r="I768">
        <f>VLOOKUP(H768,'Informe 2025'!$C$6:$M$166,11,FALSE)</f>
        <v>2</v>
      </c>
    </row>
    <row r="769" spans="1:9" x14ac:dyDescent="0.25">
      <c r="A769" s="2">
        <v>64</v>
      </c>
      <c r="B769" t="str">
        <f>VLOOKUP(A769,'Informe 2025'!$1:$1048576,2,FALSE)</f>
        <v>AGOSTO</v>
      </c>
      <c r="C769" t="s">
        <v>391</v>
      </c>
      <c r="D769" s="20" t="str">
        <f>VLOOKUP(C769,ID!$1:$1048576,4,FALSE)</f>
        <v>102069</v>
      </c>
      <c r="E769" s="20" t="str">
        <f>VLOOKUP(C769,ID!$1:$1048576,3,FALSE)</f>
        <v xml:space="preserve"> VIVIANA JEANNETTE</v>
      </c>
      <c r="F769" s="20" t="str">
        <f>VLOOKUP(C769,ID!$1:$1048576,2,FALSE)</f>
        <v>JORQUERA OLIVARES</v>
      </c>
      <c r="G769" s="2" t="str">
        <f>VLOOKUP(D769,CORREOS!$A$2:$B$570,2,FALSE)</f>
        <v>VJORQUERA@ANTAYHOTELES.CL</v>
      </c>
      <c r="H769" s="24" t="str">
        <f>VLOOKUP(A769,'Informe 2025'!$A$5:$C$164,3,FALSE)</f>
        <v>Curso Lenguaje no Verbal</v>
      </c>
      <c r="I769">
        <f>VLOOKUP(H769,'Informe 2025'!$C$6:$M$166,11,FALSE)</f>
        <v>5</v>
      </c>
    </row>
    <row r="770" spans="1:9" x14ac:dyDescent="0.25">
      <c r="A770" s="2">
        <v>64</v>
      </c>
      <c r="B770" t="str">
        <f>VLOOKUP(A770,'Informe 2025'!$1:$1048576,2,FALSE)</f>
        <v>AGOSTO</v>
      </c>
      <c r="C770" t="s">
        <v>1655</v>
      </c>
      <c r="D770" s="20" t="str">
        <f>VLOOKUP(C770,ID!$1:$1048576,4,FALSE)</f>
        <v>103880</v>
      </c>
      <c r="E770" s="20" t="str">
        <f>VLOOKUP(C770,ID!$1:$1048576,3,FALSE)</f>
        <v xml:space="preserve"> YORMAN JOEL</v>
      </c>
      <c r="F770" s="20" t="str">
        <f>VLOOKUP(C770,ID!$1:$1048576,2,FALSE)</f>
        <v>OBANDO VIVAS</v>
      </c>
      <c r="G770" s="2" t="e">
        <f>VLOOKUP(D770,CORREOS!$A$2:$B$570,2,FALSE)</f>
        <v>#N/A</v>
      </c>
      <c r="H770" s="24" t="str">
        <f>VLOOKUP(A770,'Informe 2025'!$A$5:$C$164,3,FALSE)</f>
        <v>Curso Lenguaje no Verbal</v>
      </c>
      <c r="I770">
        <f>VLOOKUP(H770,'Informe 2025'!$C$6:$M$166,11,FALSE)</f>
        <v>5</v>
      </c>
    </row>
    <row r="771" spans="1:9" x14ac:dyDescent="0.25">
      <c r="A771" s="2">
        <v>64</v>
      </c>
      <c r="B771" t="str">
        <f>VLOOKUP(A771,'Informe 2025'!$1:$1048576,2,FALSE)</f>
        <v>AGOSTO</v>
      </c>
      <c r="C771" t="s">
        <v>1957</v>
      </c>
      <c r="D771" s="20" t="str">
        <f>VLOOKUP(C771,ID!$1:$1048576,4,FALSE)</f>
        <v>102270</v>
      </c>
      <c r="E771" s="20" t="str">
        <f>VLOOKUP(C771,ID!$1:$1048576,3,FALSE)</f>
        <v xml:space="preserve"> FRANKIE IVAN</v>
      </c>
      <c r="F771" s="20" t="str">
        <f>VLOOKUP(C771,ID!$1:$1048576,2,FALSE)</f>
        <v>GARCIA URRUTIA</v>
      </c>
      <c r="G771" s="2" t="str">
        <f>VLOOKUP(D771,CORREOS!$A$2:$B$570,2,FALSE)</f>
        <v>FGURRUTIA@EGASACHILE.COM</v>
      </c>
      <c r="H771" s="24" t="str">
        <f>VLOOKUP(A771,'Informe 2025'!$A$5:$C$164,3,FALSE)</f>
        <v>Curso Lenguaje no Verbal</v>
      </c>
      <c r="I771">
        <f>VLOOKUP(H771,'Informe 2025'!$C$6:$M$166,11,FALSE)</f>
        <v>5</v>
      </c>
    </row>
    <row r="772" spans="1:9" x14ac:dyDescent="0.25">
      <c r="A772" s="2">
        <v>64</v>
      </c>
      <c r="B772" t="str">
        <f>VLOOKUP(A772,'Informe 2025'!$1:$1048576,2,FALSE)</f>
        <v>AGOSTO</v>
      </c>
      <c r="C772" t="s">
        <v>312</v>
      </c>
      <c r="D772" s="20" t="str">
        <f>VLOOKUP(C772,ID!$1:$1048576,4,FALSE)</f>
        <v>102755</v>
      </c>
      <c r="E772" s="20" t="str">
        <f>VLOOKUP(C772,ID!$1:$1048576,3,FALSE)</f>
        <v xml:space="preserve"> LEONARDO ALEXIS</v>
      </c>
      <c r="F772" s="20" t="str">
        <f>VLOOKUP(C772,ID!$1:$1048576,2,FALSE)</f>
        <v>CISTERNAS YANAPA</v>
      </c>
      <c r="G772" s="2" t="str">
        <f>VLOOKUP(D772,CORREOS!$A$2:$B$570,2,FALSE)</f>
        <v>LCISTERNAS@CL.LUCKIA.COM</v>
      </c>
      <c r="H772" s="24" t="str">
        <f>VLOOKUP(A772,'Informe 2025'!$A$5:$C$164,3,FALSE)</f>
        <v>Curso Lenguaje no Verbal</v>
      </c>
      <c r="I772">
        <f>VLOOKUP(H772,'Informe 2025'!$C$6:$M$166,11,FALSE)</f>
        <v>5</v>
      </c>
    </row>
    <row r="773" spans="1:9" x14ac:dyDescent="0.25">
      <c r="A773" s="2">
        <v>64</v>
      </c>
      <c r="B773" t="str">
        <f>VLOOKUP(A773,'Informe 2025'!$1:$1048576,2,FALSE)</f>
        <v>AGOSTO</v>
      </c>
      <c r="C773" t="s">
        <v>273</v>
      </c>
      <c r="D773" s="20" t="str">
        <f>VLOOKUP(C773,ID!$1:$1048576,4,FALSE)</f>
        <v>101363</v>
      </c>
      <c r="E773" s="20" t="str">
        <f>VLOOKUP(C773,ID!$1:$1048576,3,FALSE)</f>
        <v xml:space="preserve"> AGUSTIN ROGER</v>
      </c>
      <c r="F773" s="20" t="str">
        <f>VLOOKUP(C773,ID!$1:$1048576,2,FALSE)</f>
        <v>ARREDONDO ORTEGA</v>
      </c>
      <c r="G773" s="2" t="str">
        <f>VLOOKUP(D773,CORREOS!$A$2:$B$570,2,FALSE)</f>
        <v>AGUSTINROGER.ARREDONDO@CL.LUCKIA.COM</v>
      </c>
      <c r="H773" s="24" t="str">
        <f>VLOOKUP(A773,'Informe 2025'!$A$5:$C$164,3,FALSE)</f>
        <v>Curso Lenguaje no Verbal</v>
      </c>
      <c r="I773">
        <f>VLOOKUP(H773,'Informe 2025'!$C$6:$M$166,11,FALSE)</f>
        <v>5</v>
      </c>
    </row>
    <row r="774" spans="1:9" x14ac:dyDescent="0.25">
      <c r="A774" s="2">
        <v>64</v>
      </c>
      <c r="B774" t="str">
        <f>VLOOKUP(A774,'Informe 2025'!$1:$1048576,2,FALSE)</f>
        <v>AGOSTO</v>
      </c>
      <c r="C774" t="s">
        <v>1958</v>
      </c>
      <c r="D774" s="20" t="str">
        <f>VLOOKUP(C774,ID!$1:$1048576,4,FALSE)</f>
        <v>104250</v>
      </c>
      <c r="E774" s="20" t="str">
        <f>VLOOKUP(C774,ID!$1:$1048576,3,FALSE)</f>
        <v xml:space="preserve"> LUIS FELIPE</v>
      </c>
      <c r="F774" s="20" t="str">
        <f>VLOOKUP(C774,ID!$1:$1048576,2,FALSE)</f>
        <v>ESPINOZA ESCOBAR</v>
      </c>
      <c r="G774" s="2" t="str">
        <f>VLOOKUP(D774,CORREOS!$A$2:$B$570,2,FALSE)</f>
        <v>LESPINOZA@CL.LUCKIA.COM</v>
      </c>
      <c r="H774" s="24" t="str">
        <f>VLOOKUP(A774,'Informe 2025'!$A$5:$C$164,3,FALSE)</f>
        <v>Curso Lenguaje no Verbal</v>
      </c>
      <c r="I774">
        <f>VLOOKUP(H774,'Informe 2025'!$C$6:$M$166,11,FALSE)</f>
        <v>5</v>
      </c>
    </row>
    <row r="775" spans="1:9" x14ac:dyDescent="0.25">
      <c r="A775" s="2">
        <v>64</v>
      </c>
      <c r="B775" t="str">
        <f>VLOOKUP(A775,'Informe 2025'!$1:$1048576,2,FALSE)</f>
        <v>AGOSTO</v>
      </c>
      <c r="C775" t="s">
        <v>1970</v>
      </c>
      <c r="D775" s="20" t="str">
        <f>VLOOKUP(C775,ID!$1:$1048576,4,FALSE)</f>
        <v>104249</v>
      </c>
      <c r="E775" s="20" t="str">
        <f>VLOOKUP(C775,ID!$1:$1048576,3,FALSE)</f>
        <v xml:space="preserve"> JOSE ALEJANDRO</v>
      </c>
      <c r="F775" s="20" t="str">
        <f>VLOOKUP(C775,ID!$1:$1048576,2,FALSE)</f>
        <v>POBLETE PEREZ</v>
      </c>
      <c r="G775" s="2" t="str">
        <f>VLOOKUP(D775,CORREOS!$A$2:$B$570,2,FALSE)</f>
        <v>JPOBLETE@CL.LUCKIA.COM</v>
      </c>
      <c r="H775" s="24" t="str">
        <f>VLOOKUP(A775,'Informe 2025'!$A$5:$C$164,3,FALSE)</f>
        <v>Curso Lenguaje no Verbal</v>
      </c>
      <c r="I775">
        <f>VLOOKUP(H775,'Informe 2025'!$C$6:$M$166,11,FALSE)</f>
        <v>5</v>
      </c>
    </row>
    <row r="776" spans="1:9" x14ac:dyDescent="0.25">
      <c r="A776" s="2">
        <v>64</v>
      </c>
      <c r="B776" t="str">
        <f>VLOOKUP(A776,'Informe 2025'!$1:$1048576,2,FALSE)</f>
        <v>AGOSTO</v>
      </c>
      <c r="C776" t="s">
        <v>515</v>
      </c>
      <c r="D776" s="20" t="str">
        <f>VLOOKUP(C776,ID!$1:$1048576,4,FALSE)</f>
        <v>102019</v>
      </c>
      <c r="E776" s="20" t="str">
        <f>VLOOKUP(C776,ID!$1:$1048576,3,FALSE)</f>
        <v xml:space="preserve"> BARBARA STEPHANIA</v>
      </c>
      <c r="F776" s="20" t="str">
        <f>VLOOKUP(C776,ID!$1:$1048576,2,FALSE)</f>
        <v>UGARTE LIRA</v>
      </c>
      <c r="G776" s="2" t="str">
        <f>VLOOKUP(D776,CORREOS!$A$2:$B$570,2,FALSE)</f>
        <v>BUGARTE@CL.LUCKIA.COM</v>
      </c>
      <c r="H776" s="24" t="str">
        <f>VLOOKUP(A776,'Informe 2025'!$A$5:$C$164,3,FALSE)</f>
        <v>Curso Lenguaje no Verbal</v>
      </c>
      <c r="I776">
        <f>VLOOKUP(H776,'Informe 2025'!$C$6:$M$166,11,FALSE)</f>
        <v>5</v>
      </c>
    </row>
    <row r="777" spans="1:9" x14ac:dyDescent="0.25">
      <c r="A777" s="2">
        <v>64</v>
      </c>
      <c r="B777" t="str">
        <f>VLOOKUP(A777,'Informe 2025'!$1:$1048576,2,FALSE)</f>
        <v>AGOSTO</v>
      </c>
      <c r="C777" t="s">
        <v>339</v>
      </c>
      <c r="D777" s="20" t="str">
        <f>VLOOKUP(C777,ID!$1:$1048576,4,FALSE)</f>
        <v>101938</v>
      </c>
      <c r="E777" s="20" t="str">
        <f>VLOOKUP(C777,ID!$1:$1048576,3,FALSE)</f>
        <v xml:space="preserve"> LORETO ANDREA</v>
      </c>
      <c r="F777" s="20" t="str">
        <f>VLOOKUP(C777,ID!$1:$1048576,2,FALSE)</f>
        <v>FERNANDEZ GONZALEZ</v>
      </c>
      <c r="G777" s="2" t="str">
        <f>VLOOKUP(D777,CORREOS!$A$2:$B$570,2,FALSE)</f>
        <v>LFGONZALEZ@CL.LUCKIA.COM</v>
      </c>
      <c r="H777" s="24" t="str">
        <f>VLOOKUP(A777,'Informe 2025'!$A$5:$C$164,3,FALSE)</f>
        <v>Curso Lenguaje no Verbal</v>
      </c>
      <c r="I777">
        <f>VLOOKUP(H777,'Informe 2025'!$C$6:$M$166,11,FALSE)</f>
        <v>5</v>
      </c>
    </row>
    <row r="778" spans="1:9" x14ac:dyDescent="0.25">
      <c r="A778" s="2">
        <v>64</v>
      </c>
      <c r="B778" t="str">
        <f>VLOOKUP(A778,'Informe 2025'!$1:$1048576,2,FALSE)</f>
        <v>AGOSTO</v>
      </c>
      <c r="C778" t="s">
        <v>450</v>
      </c>
      <c r="D778" s="20" t="str">
        <f>VLOOKUP(C778,ID!$1:$1048576,4,FALSE)</f>
        <v>101327</v>
      </c>
      <c r="E778" s="20" t="str">
        <f>VLOOKUP(C778,ID!$1:$1048576,3,FALSE)</f>
        <v xml:space="preserve"> JOSE ARTURO</v>
      </c>
      <c r="F778" s="20" t="str">
        <f>VLOOKUP(C778,ID!$1:$1048576,2,FALSE)</f>
        <v>PADILLA LAZARO</v>
      </c>
      <c r="G778" s="2" t="str">
        <f>VLOOKUP(D778,CORREOS!$A$2:$B$570,2,FALSE)</f>
        <v>JOSE.PADILLA@CL.LUCKIA.COM</v>
      </c>
      <c r="H778" s="24" t="str">
        <f>VLOOKUP(A778,'Informe 2025'!$A$5:$C$164,3,FALSE)</f>
        <v>Curso Lenguaje no Verbal</v>
      </c>
      <c r="I778">
        <f>VLOOKUP(H778,'Informe 2025'!$C$6:$M$166,11,FALSE)</f>
        <v>5</v>
      </c>
    </row>
    <row r="779" spans="1:9" x14ac:dyDescent="0.25">
      <c r="A779" s="2">
        <v>64</v>
      </c>
      <c r="B779" t="str">
        <f>VLOOKUP(A779,'Informe 2025'!$1:$1048576,2,FALSE)</f>
        <v>AGOSTO</v>
      </c>
      <c r="C779" t="s">
        <v>1662</v>
      </c>
      <c r="D779" s="20" t="str">
        <f>VLOOKUP(C779,ID!$1:$1048576,4,FALSE)</f>
        <v>102451</v>
      </c>
      <c r="E779" s="20" t="str">
        <f>VLOOKUP(C779,ID!$1:$1048576,3,FALSE)</f>
        <v xml:space="preserve"> YRENE YNES</v>
      </c>
      <c r="F779" s="20" t="str">
        <f>VLOOKUP(C779,ID!$1:$1048576,2,FALSE)</f>
        <v>RUJANO FLORES</v>
      </c>
      <c r="G779" s="2" t="e">
        <f>VLOOKUP(D779,CORREOS!$A$2:$B$570,2,FALSE)</f>
        <v>#N/A</v>
      </c>
      <c r="H779" s="24" t="str">
        <f>VLOOKUP(A779,'Informe 2025'!$A$5:$C$164,3,FALSE)</f>
        <v>Curso Lenguaje no Verbal</v>
      </c>
      <c r="I779">
        <f>VLOOKUP(H779,'Informe 2025'!$C$6:$M$166,11,FALSE)</f>
        <v>5</v>
      </c>
    </row>
    <row r="780" spans="1:9" x14ac:dyDescent="0.25">
      <c r="A780" s="2">
        <v>64</v>
      </c>
      <c r="B780" t="str">
        <f>VLOOKUP(A780,'Informe 2025'!$1:$1048576,2,FALSE)</f>
        <v>AGOSTO</v>
      </c>
      <c r="C780" t="s">
        <v>402</v>
      </c>
      <c r="D780" s="20" t="str">
        <f>VLOOKUP(C780,ID!$1:$1048576,4,FALSE)</f>
        <v>103465</v>
      </c>
      <c r="E780" s="20" t="str">
        <f>VLOOKUP(C780,ID!$1:$1048576,3,FALSE)</f>
        <v xml:space="preserve"> NICOLAS ANDRES</v>
      </c>
      <c r="F780" s="20" t="str">
        <f>VLOOKUP(C780,ID!$1:$1048576,2,FALSE)</f>
        <v>LOPEZ VEGA</v>
      </c>
      <c r="G780" s="2" t="str">
        <f>VLOOKUP(D780,CORREOS!$A$2:$B$570,2,FALSE)</f>
        <v>NLVEGA@CL.LUCKIA.COM</v>
      </c>
      <c r="H780" s="24" t="str">
        <f>VLOOKUP(A780,'Informe 2025'!$A$5:$C$164,3,FALSE)</f>
        <v>Curso Lenguaje no Verbal</v>
      </c>
      <c r="I780">
        <f>VLOOKUP(H780,'Informe 2025'!$C$6:$M$166,11,FALSE)</f>
        <v>5</v>
      </c>
    </row>
    <row r="781" spans="1:9" x14ac:dyDescent="0.25">
      <c r="A781" s="2">
        <v>64</v>
      </c>
      <c r="B781" t="str">
        <f>VLOOKUP(A781,'Informe 2025'!$1:$1048576,2,FALSE)</f>
        <v>AGOSTO</v>
      </c>
      <c r="C781" t="s">
        <v>353</v>
      </c>
      <c r="D781" s="20" t="str">
        <f>VLOOKUP(C781,ID!$1:$1048576,4,FALSE)</f>
        <v>102748</v>
      </c>
      <c r="E781" s="20" t="str">
        <f>VLOOKUP(C781,ID!$1:$1048576,3,FALSE)</f>
        <v xml:space="preserve"> EMMERSON</v>
      </c>
      <c r="F781" s="20" t="str">
        <f>VLOOKUP(C781,ID!$1:$1048576,2,FALSE)</f>
        <v>GALVEZ IBARRA</v>
      </c>
      <c r="G781" s="2" t="str">
        <f>VLOOKUP(D781,CORREOS!$A$2:$B$570,2,FALSE)</f>
        <v>EGALVEZ@CL.LUCKIA.COM</v>
      </c>
      <c r="H781" s="24" t="str">
        <f>VLOOKUP(A781,'Informe 2025'!$A$5:$C$164,3,FALSE)</f>
        <v>Curso Lenguaje no Verbal</v>
      </c>
      <c r="I781">
        <f>VLOOKUP(H781,'Informe 2025'!$C$6:$M$166,11,FALSE)</f>
        <v>5</v>
      </c>
    </row>
    <row r="782" spans="1:9" x14ac:dyDescent="0.25">
      <c r="A782" s="2">
        <v>64</v>
      </c>
      <c r="B782" t="str">
        <f>VLOOKUP(A782,'Informe 2025'!$1:$1048576,2,FALSE)</f>
        <v>AGOSTO</v>
      </c>
      <c r="C782" t="s">
        <v>357</v>
      </c>
      <c r="D782" s="20" t="str">
        <f>VLOOKUP(C782,ID!$1:$1048576,4,FALSE)</f>
        <v>101517</v>
      </c>
      <c r="E782" s="20" t="str">
        <f>VLOOKUP(C782,ID!$1:$1048576,3,FALSE)</f>
        <v xml:space="preserve"> VICTOR ALEJANDRO</v>
      </c>
      <c r="F782" s="20" t="str">
        <f>VLOOKUP(C782,ID!$1:$1048576,2,FALSE)</f>
        <v>GATICA ELIAS</v>
      </c>
      <c r="G782" s="2" t="str">
        <f>VLOOKUP(D782,CORREOS!$A$2:$B$570,2,FALSE)</f>
        <v>VICTORALEJANDRO.GATICA@CL.LUCKIA.COM</v>
      </c>
      <c r="H782" s="24" t="str">
        <f>VLOOKUP(A782,'Informe 2025'!$A$5:$C$164,3,FALSE)</f>
        <v>Curso Lenguaje no Verbal</v>
      </c>
      <c r="I782">
        <f>VLOOKUP(H782,'Informe 2025'!$C$6:$M$166,11,FALSE)</f>
        <v>5</v>
      </c>
    </row>
    <row r="783" spans="1:9" x14ac:dyDescent="0.25">
      <c r="A783" s="2">
        <v>64</v>
      </c>
      <c r="B783" t="str">
        <f>VLOOKUP(A783,'Informe 2025'!$1:$1048576,2,FALSE)</f>
        <v>AGOSTO</v>
      </c>
      <c r="C783" t="s">
        <v>287</v>
      </c>
      <c r="D783" s="20" t="str">
        <f>VLOOKUP(C783,ID!$1:$1048576,4,FALSE)</f>
        <v>101822</v>
      </c>
      <c r="E783" s="20" t="str">
        <f>VLOOKUP(C783,ID!$1:$1048576,3,FALSE)</f>
        <v xml:space="preserve"> ABRAHAM LUIS</v>
      </c>
      <c r="F783" s="20" t="str">
        <f>VLOOKUP(C783,ID!$1:$1048576,2,FALSE)</f>
        <v>CALLE FLORES</v>
      </c>
      <c r="G783" s="2" t="str">
        <f>VLOOKUP(D783,CORREOS!$A$2:$B$570,2,FALSE)</f>
        <v>ACALLE@CL.LUCKIA.COM</v>
      </c>
      <c r="H783" s="24" t="str">
        <f>VLOOKUP(A783,'Informe 2025'!$A$5:$C$164,3,FALSE)</f>
        <v>Curso Lenguaje no Verbal</v>
      </c>
      <c r="I783">
        <f>VLOOKUP(H783,'Informe 2025'!$C$6:$M$166,11,FALSE)</f>
        <v>5</v>
      </c>
    </row>
    <row r="784" spans="1:9" x14ac:dyDescent="0.25">
      <c r="A784" s="2">
        <v>64</v>
      </c>
      <c r="B784" t="str">
        <f>VLOOKUP(A784,'Informe 2025'!$1:$1048576,2,FALSE)</f>
        <v>AGOSTO</v>
      </c>
      <c r="C784" t="s">
        <v>243</v>
      </c>
      <c r="D784" s="20" t="str">
        <f>VLOOKUP(C784,ID!$1:$1048576,4,FALSE)</f>
        <v>100348</v>
      </c>
      <c r="E784" s="20" t="str">
        <f>VLOOKUP(C784,ID!$1:$1048576,3,FALSE)</f>
        <v xml:space="preserve"> FATIMA JUDITH</v>
      </c>
      <c r="F784" s="20" t="str">
        <f>VLOOKUP(C784,ID!$1:$1048576,2,FALSE)</f>
        <v>AGUIRRE ESPINOZA</v>
      </c>
      <c r="G784" s="2" t="str">
        <f>VLOOKUP(D784,CORREOS!$A$2:$B$570,2,FALSE)</f>
        <v>JUDITH.AGUIRRE@CL.LUCKIA.COM</v>
      </c>
      <c r="H784" s="24" t="str">
        <f>VLOOKUP(A784,'Informe 2025'!$A$5:$C$164,3,FALSE)</f>
        <v>Curso Lenguaje no Verbal</v>
      </c>
      <c r="I784">
        <f>VLOOKUP(H784,'Informe 2025'!$C$6:$M$166,11,FALSE)</f>
        <v>5</v>
      </c>
    </row>
    <row r="785" spans="1:9" x14ac:dyDescent="0.25">
      <c r="A785" s="2">
        <v>64</v>
      </c>
      <c r="B785" t="str">
        <f>VLOOKUP(A785,'Informe 2025'!$1:$1048576,2,FALSE)</f>
        <v>AGOSTO</v>
      </c>
      <c r="C785" t="s">
        <v>383</v>
      </c>
      <c r="D785" s="20" t="str">
        <f>VLOOKUP(C785,ID!$1:$1048576,4,FALSE)</f>
        <v>101680</v>
      </c>
      <c r="E785" s="20" t="str">
        <f>VLOOKUP(C785,ID!$1:$1048576,3,FALSE)</f>
        <v xml:space="preserve"> LEONEL ALEXIS</v>
      </c>
      <c r="F785" s="20" t="str">
        <f>VLOOKUP(C785,ID!$1:$1048576,2,FALSE)</f>
        <v>HERRERA HINOJOSA</v>
      </c>
      <c r="G785" s="2" t="str">
        <f>VLOOKUP(D785,CORREOS!$A$2:$B$570,2,FALSE)</f>
        <v>LEONELALEXIS.HERRERA@CL.LUCKIA.COM</v>
      </c>
      <c r="H785" s="24" t="str">
        <f>VLOOKUP(A785,'Informe 2025'!$A$5:$C$164,3,FALSE)</f>
        <v>Curso Lenguaje no Verbal</v>
      </c>
      <c r="I785">
        <f>VLOOKUP(H785,'Informe 2025'!$C$6:$M$166,11,FALSE)</f>
        <v>5</v>
      </c>
    </row>
    <row r="786" spans="1:9" x14ac:dyDescent="0.25">
      <c r="A786" s="2">
        <v>64</v>
      </c>
      <c r="B786" t="str">
        <f>VLOOKUP(A786,'Informe 2025'!$1:$1048576,2,FALSE)</f>
        <v>AGOSTO</v>
      </c>
      <c r="C786" t="s">
        <v>415</v>
      </c>
      <c r="D786" s="20" t="str">
        <f>VLOOKUP(C786,ID!$1:$1048576,4,FALSE)</f>
        <v>102041</v>
      </c>
      <c r="E786" s="20" t="str">
        <f>VLOOKUP(C786,ID!$1:$1048576,3,FALSE)</f>
        <v xml:space="preserve"> JUAN ALBERTO</v>
      </c>
      <c r="F786" s="20" t="str">
        <f>VLOOKUP(C786,ID!$1:$1048576,2,FALSE)</f>
        <v>MENDEZ RIVERA</v>
      </c>
      <c r="G786" s="2" t="str">
        <f>VLOOKUP(D786,CORREOS!$A$2:$B$570,2,FALSE)</f>
        <v>JMRIVERA@CL.LUCKIA.COM</v>
      </c>
      <c r="H786" s="24" t="str">
        <f>VLOOKUP(A786,'Informe 2025'!$A$5:$C$164,3,FALSE)</f>
        <v>Curso Lenguaje no Verbal</v>
      </c>
      <c r="I786">
        <f>VLOOKUP(H786,'Informe 2025'!$C$6:$M$166,11,FALSE)</f>
        <v>5</v>
      </c>
    </row>
    <row r="787" spans="1:9" x14ac:dyDescent="0.25">
      <c r="A787" s="2">
        <v>64</v>
      </c>
      <c r="B787" t="str">
        <f>VLOOKUP(A787,'Informe 2025'!$1:$1048576,2,FALSE)</f>
        <v>AGOSTO</v>
      </c>
      <c r="C787" t="s">
        <v>529</v>
      </c>
      <c r="D787" s="20" t="str">
        <f>VLOOKUP(C787,ID!$1:$1048576,4,FALSE)</f>
        <v>101682</v>
      </c>
      <c r="E787" s="20" t="str">
        <f>VLOOKUP(C787,ID!$1:$1048576,3,FALSE)</f>
        <v xml:space="preserve"> ALVARO GUILLERMO</v>
      </c>
      <c r="F787" s="20" t="str">
        <f>VLOOKUP(C787,ID!$1:$1048576,2,FALSE)</f>
        <v>VIDAL RAMIREZ</v>
      </c>
      <c r="G787" s="2" t="str">
        <f>VLOOKUP(D787,CORREOS!$A$2:$B$570,2,FALSE)</f>
        <v>ALVAROGUILLERMO.VIDAL@CL.LUCKIA.COM</v>
      </c>
      <c r="H787" s="24" t="str">
        <f>VLOOKUP(A787,'Informe 2025'!$A$5:$C$164,3,FALSE)</f>
        <v>Curso Lenguaje no Verbal</v>
      </c>
      <c r="I787">
        <f>VLOOKUP(H787,'Informe 2025'!$C$6:$M$166,11,FALSE)</f>
        <v>5</v>
      </c>
    </row>
    <row r="788" spans="1:9" x14ac:dyDescent="0.25">
      <c r="A788" s="2">
        <v>64</v>
      </c>
      <c r="B788" t="str">
        <f>VLOOKUP(A788,'Informe 2025'!$1:$1048576,2,FALSE)</f>
        <v>AGOSTO</v>
      </c>
      <c r="C788" t="s">
        <v>525</v>
      </c>
      <c r="D788" s="20" t="str">
        <f>VLOOKUP(C788,ID!$1:$1048576,4,FALSE)</f>
        <v>101821</v>
      </c>
      <c r="E788" s="20" t="str">
        <f>VLOOKUP(C788,ID!$1:$1048576,3,FALSE)</f>
        <v xml:space="preserve"> CLAUDIO SEBASTIAN CESAR</v>
      </c>
      <c r="F788" s="20" t="str">
        <f>VLOOKUP(C788,ID!$1:$1048576,2,FALSE)</f>
        <v>VELEZ MUÑOZ</v>
      </c>
      <c r="G788" s="2" t="str">
        <f>VLOOKUP(D788,CORREOS!$A$2:$B$570,2,FALSE)</f>
        <v>CVELEZ@CL.LUCKIA.COM</v>
      </c>
      <c r="H788" s="24" t="str">
        <f>VLOOKUP(A788,'Informe 2025'!$A$5:$C$164,3,FALSE)</f>
        <v>Curso Lenguaje no Verbal</v>
      </c>
      <c r="I788">
        <f>VLOOKUP(H788,'Informe 2025'!$C$6:$M$166,11,FALSE)</f>
        <v>5</v>
      </c>
    </row>
    <row r="789" spans="1:9" x14ac:dyDescent="0.25">
      <c r="A789" s="2">
        <v>64</v>
      </c>
      <c r="B789" t="str">
        <f>VLOOKUP(A789,'Informe 2025'!$1:$1048576,2,FALSE)</f>
        <v>AGOSTO</v>
      </c>
      <c r="C789" t="s">
        <v>302</v>
      </c>
      <c r="D789" s="20" t="str">
        <f>VLOOKUP(C789,ID!$1:$1048576,4,FALSE)</f>
        <v>101455</v>
      </c>
      <c r="E789" s="20" t="str">
        <f>VLOOKUP(C789,ID!$1:$1048576,3,FALSE)</f>
        <v xml:space="preserve"> PAULINA HELGA</v>
      </c>
      <c r="F789" s="20" t="str">
        <f>VLOOKUP(C789,ID!$1:$1048576,2,FALSE)</f>
        <v>CASTILLO MORALES</v>
      </c>
      <c r="G789" s="2" t="str">
        <f>VLOOKUP(D789,CORREOS!$A$2:$B$570,2,FALSE)</f>
        <v>PAULINAHELGA.CASTILLO@CL.LUCKIA.COM</v>
      </c>
      <c r="H789" s="24" t="str">
        <f>VLOOKUP(A789,'Informe 2025'!$A$5:$C$164,3,FALSE)</f>
        <v>Curso Lenguaje no Verbal</v>
      </c>
      <c r="I789">
        <f>VLOOKUP(H789,'Informe 2025'!$C$6:$M$166,11,FALSE)</f>
        <v>5</v>
      </c>
    </row>
    <row r="790" spans="1:9" x14ac:dyDescent="0.25">
      <c r="A790" s="2">
        <v>64</v>
      </c>
      <c r="B790" t="str">
        <f>VLOOKUP(A790,'Informe 2025'!$1:$1048576,2,FALSE)</f>
        <v>AGOSTO</v>
      </c>
      <c r="C790" t="s">
        <v>371</v>
      </c>
      <c r="D790" s="20" t="str">
        <f>VLOOKUP(C790,ID!$1:$1048576,4,FALSE)</f>
        <v>101456</v>
      </c>
      <c r="E790" s="20" t="str">
        <f>VLOOKUP(C790,ID!$1:$1048576,3,FALSE)</f>
        <v xml:space="preserve"> MARIA JOSE</v>
      </c>
      <c r="F790" s="20" t="str">
        <f>VLOOKUP(C790,ID!$1:$1048576,2,FALSE)</f>
        <v>GONZALEZ MEDINA</v>
      </c>
      <c r="G790" s="2" t="str">
        <f>VLOOKUP(D790,CORREOS!$A$2:$B$570,2,FALSE)</f>
        <v>MGMEDINA@CL.LUCKIA.COM</v>
      </c>
      <c r="H790" s="24" t="str">
        <f>VLOOKUP(A790,'Informe 2025'!$A$5:$C$164,3,FALSE)</f>
        <v>Curso Lenguaje no Verbal</v>
      </c>
      <c r="I790">
        <f>VLOOKUP(H790,'Informe 2025'!$C$6:$M$166,11,FALSE)</f>
        <v>5</v>
      </c>
    </row>
    <row r="791" spans="1:9" x14ac:dyDescent="0.25">
      <c r="A791" s="2">
        <v>64</v>
      </c>
      <c r="B791" t="str">
        <f>VLOOKUP(A791,'Informe 2025'!$1:$1048576,2,FALSE)</f>
        <v>AGOSTO</v>
      </c>
      <c r="C791" t="s">
        <v>1644</v>
      </c>
      <c r="D791" s="20" t="str">
        <f>VLOOKUP(C791,ID!$1:$1048576,4,FALSE)</f>
        <v>102452</v>
      </c>
      <c r="E791" s="20" t="str">
        <f>VLOOKUP(C791,ID!$1:$1048576,3,FALSE)</f>
        <v xml:space="preserve"> JOEL JOSE</v>
      </c>
      <c r="F791" s="20" t="str">
        <f>VLOOKUP(C791,ID!$1:$1048576,2,FALSE)</f>
        <v>GONZALEZ VASQUEZ</v>
      </c>
      <c r="G791" s="2" t="e">
        <f>VLOOKUP(D791,CORREOS!$A$2:$B$570,2,FALSE)</f>
        <v>#N/A</v>
      </c>
      <c r="H791" s="24" t="str">
        <f>VLOOKUP(A791,'Informe 2025'!$A$5:$C$164,3,FALSE)</f>
        <v>Curso Lenguaje no Verbal</v>
      </c>
      <c r="I791">
        <f>VLOOKUP(H791,'Informe 2025'!$C$6:$M$166,11,FALSE)</f>
        <v>5</v>
      </c>
    </row>
    <row r="792" spans="1:9" x14ac:dyDescent="0.25">
      <c r="A792" s="2">
        <v>64</v>
      </c>
      <c r="B792" t="str">
        <f>VLOOKUP(A792,'Informe 2025'!$1:$1048576,2,FALSE)</f>
        <v>AGOSTO</v>
      </c>
      <c r="C792" t="s">
        <v>1965</v>
      </c>
      <c r="D792" s="20" t="str">
        <f>VLOOKUP(C792,ID!$1:$1048576,4,FALSE)</f>
        <v>104195</v>
      </c>
      <c r="E792" s="20" t="str">
        <f>VLOOKUP(C792,ID!$1:$1048576,3,FALSE)</f>
        <v xml:space="preserve"> HUMBERTO OSVALDO</v>
      </c>
      <c r="F792" s="20" t="str">
        <f>VLOOKUP(C792,ID!$1:$1048576,2,FALSE)</f>
        <v>CHAMBE GUZMAN</v>
      </c>
      <c r="G792" s="2" t="str">
        <f>VLOOKUP(D792,CORREOS!$A$2:$B$570,2,FALSE)</f>
        <v>HCHAMBE@CL.LUCKIA.COM</v>
      </c>
      <c r="H792" s="24" t="str">
        <f>VLOOKUP(A792,'Informe 2025'!$A$5:$C$164,3,FALSE)</f>
        <v>Curso Lenguaje no Verbal</v>
      </c>
      <c r="I792">
        <f>VLOOKUP(H792,'Informe 2025'!$C$6:$M$166,11,FALSE)</f>
        <v>5</v>
      </c>
    </row>
    <row r="793" spans="1:9" x14ac:dyDescent="0.25">
      <c r="A793" s="2">
        <v>64</v>
      </c>
      <c r="B793" t="str">
        <f>VLOOKUP(A793,'Informe 2025'!$1:$1048576,2,FALSE)</f>
        <v>AGOSTO</v>
      </c>
      <c r="C793" t="s">
        <v>386</v>
      </c>
      <c r="D793" s="20" t="str">
        <f>VLOOKUP(C793,ID!$1:$1048576,4,FALSE)</f>
        <v>101375</v>
      </c>
      <c r="E793" s="20" t="str">
        <f>VLOOKUP(C793,ID!$1:$1048576,3,FALSE)</f>
        <v xml:space="preserve"> ALLIZON DANIELA</v>
      </c>
      <c r="F793" s="20" t="str">
        <f>VLOOKUP(C793,ID!$1:$1048576,2,FALSE)</f>
        <v>HUERTA VASQUEZ</v>
      </c>
      <c r="G793" s="2" t="str">
        <f>VLOOKUP(D793,CORREOS!$A$2:$B$570,2,FALSE)</f>
        <v>DHUERTA@CL.LUCKIA.COM</v>
      </c>
      <c r="H793" s="24" t="str">
        <f>VLOOKUP(A793,'Informe 2025'!$A$5:$C$164,3,FALSE)</f>
        <v>Curso Lenguaje no Verbal</v>
      </c>
      <c r="I793">
        <f>VLOOKUP(H793,'Informe 2025'!$C$6:$M$166,11,FALSE)</f>
        <v>5</v>
      </c>
    </row>
    <row r="794" spans="1:9" x14ac:dyDescent="0.25">
      <c r="A794" s="2">
        <v>64</v>
      </c>
      <c r="B794" t="str">
        <f>VLOOKUP(A794,'Informe 2025'!$1:$1048576,2,FALSE)</f>
        <v>AGOSTO</v>
      </c>
      <c r="C794" t="s">
        <v>460</v>
      </c>
      <c r="D794" s="20" t="str">
        <f>VLOOKUP(C794,ID!$1:$1048576,4,FALSE)</f>
        <v>101402</v>
      </c>
      <c r="E794" s="20" t="str">
        <f>VLOOKUP(C794,ID!$1:$1048576,3,FALSE)</f>
        <v xml:space="preserve"> ALVARO ANTONIO</v>
      </c>
      <c r="F794" s="20" t="str">
        <f>VLOOKUP(C794,ID!$1:$1048576,2,FALSE)</f>
        <v>PEREZ SALAZAR</v>
      </c>
      <c r="G794" s="2" t="str">
        <f>VLOOKUP(D794,CORREOS!$A$2:$B$570,2,FALSE)</f>
        <v>ALVAROANTONIO.PEREZ@CL.LUCKIA.COM</v>
      </c>
      <c r="H794" s="24" t="str">
        <f>VLOOKUP(A794,'Informe 2025'!$A$5:$C$164,3,FALSE)</f>
        <v>Curso Lenguaje no Verbal</v>
      </c>
      <c r="I794">
        <f>VLOOKUP(H794,'Informe 2025'!$C$6:$M$166,11,FALSE)</f>
        <v>5</v>
      </c>
    </row>
    <row r="795" spans="1:9" x14ac:dyDescent="0.25">
      <c r="A795" s="2">
        <v>64</v>
      </c>
      <c r="B795" t="str">
        <f>VLOOKUP(A795,'Informe 2025'!$1:$1048576,2,FALSE)</f>
        <v>AGOSTO</v>
      </c>
      <c r="C795" t="s">
        <v>493</v>
      </c>
      <c r="D795" s="20" t="str">
        <f>VLOOKUP(C795,ID!$1:$1048576,4,FALSE)</f>
        <v>102704</v>
      </c>
      <c r="E795" s="20" t="str">
        <f>VLOOKUP(C795,ID!$1:$1048576,3,FALSE)</f>
        <v xml:space="preserve"> DIEGO ENRIQUE</v>
      </c>
      <c r="F795" s="20" t="str">
        <f>VLOOKUP(C795,ID!$1:$1048576,2,FALSE)</f>
        <v>SAJAMA CRUZ</v>
      </c>
      <c r="G795" s="2" t="str">
        <f>VLOOKUP(D795,CORREOS!$A$2:$B$570,2,FALSE)</f>
        <v>DSAJAMA@CL.LUCKIA.COM</v>
      </c>
      <c r="H795" s="24" t="str">
        <f>VLOOKUP(A795,'Informe 2025'!$A$5:$C$164,3,FALSE)</f>
        <v>Curso Lenguaje no Verbal</v>
      </c>
      <c r="I795">
        <f>VLOOKUP(H795,'Informe 2025'!$C$6:$M$166,11,FALSE)</f>
        <v>5</v>
      </c>
    </row>
    <row r="796" spans="1:9" x14ac:dyDescent="0.25">
      <c r="A796" s="2">
        <v>64</v>
      </c>
      <c r="B796" t="str">
        <f>VLOOKUP(A796,'Informe 2025'!$1:$1048576,2,FALSE)</f>
        <v>AGOSTO</v>
      </c>
      <c r="C796" t="s">
        <v>251</v>
      </c>
      <c r="D796" s="20" t="str">
        <f>VLOOKUP(C796,ID!$1:$1048576,4,FALSE)</f>
        <v>102611</v>
      </c>
      <c r="E796" s="20" t="str">
        <f>VLOOKUP(C796,ID!$1:$1048576,3,FALSE)</f>
        <v xml:space="preserve"> DIEGO ALEXIS</v>
      </c>
      <c r="F796" s="20" t="str">
        <f>VLOOKUP(C796,ID!$1:$1048576,2,FALSE)</f>
        <v>ALID ALID</v>
      </c>
      <c r="G796" s="2" t="str">
        <f>VLOOKUP(D796,CORREOS!$A$2:$B$570,2,FALSE)</f>
        <v>DALID@ANTAYHOTELES.CL</v>
      </c>
      <c r="H796" s="24" t="str">
        <f>VLOOKUP(A796,'Informe 2025'!$A$5:$C$164,3,FALSE)</f>
        <v>Curso Lenguaje no Verbal</v>
      </c>
      <c r="I796">
        <f>VLOOKUP(H796,'Informe 2025'!$C$6:$M$166,11,FALSE)</f>
        <v>5</v>
      </c>
    </row>
    <row r="797" spans="1:9" x14ac:dyDescent="0.25">
      <c r="A797" s="2">
        <v>64</v>
      </c>
      <c r="B797" t="str">
        <f>VLOOKUP(A797,'Informe 2025'!$1:$1048576,2,FALSE)</f>
        <v>AGOSTO</v>
      </c>
      <c r="C797" t="s">
        <v>418</v>
      </c>
      <c r="D797" s="20" t="str">
        <f>VLOOKUP(C797,ID!$1:$1048576,4,FALSE)</f>
        <v>103363</v>
      </c>
      <c r="E797" s="20" t="str">
        <f>VLOOKUP(C797,ID!$1:$1048576,3,FALSE)</f>
        <v xml:space="preserve"> DANIEL NEHEMIAS</v>
      </c>
      <c r="F797" s="20" t="str">
        <f>VLOOKUP(C797,ID!$1:$1048576,2,FALSE)</f>
        <v>MIRANDA QUISPE</v>
      </c>
      <c r="G797" s="2" t="str">
        <f>VLOOKUP(D797,CORREOS!$A$2:$B$570,2,FALSE)</f>
        <v>DMIRANDA@CL.LUCKIA.COM</v>
      </c>
      <c r="H797" s="24" t="str">
        <f>VLOOKUP(A797,'Informe 2025'!$A$5:$C$164,3,FALSE)</f>
        <v>Curso Lenguaje no Verbal</v>
      </c>
      <c r="I797">
        <f>VLOOKUP(H797,'Informe 2025'!$C$6:$M$166,11,FALSE)</f>
        <v>5</v>
      </c>
    </row>
    <row r="798" spans="1:9" x14ac:dyDescent="0.25">
      <c r="A798" s="2">
        <v>64</v>
      </c>
      <c r="B798" t="str">
        <f>VLOOKUP(A798,'Informe 2025'!$1:$1048576,2,FALSE)</f>
        <v>AGOSTO</v>
      </c>
      <c r="C798" t="s">
        <v>414</v>
      </c>
      <c r="D798" s="20" t="str">
        <f>VLOOKUP(C798,ID!$1:$1048576,4,FALSE)</f>
        <v>102342</v>
      </c>
      <c r="E798" s="20" t="str">
        <f>VLOOKUP(C798,ID!$1:$1048576,3,FALSE)</f>
        <v xml:space="preserve"> NICOLAS YENARO</v>
      </c>
      <c r="F798" s="20" t="str">
        <f>VLOOKUP(C798,ID!$1:$1048576,2,FALSE)</f>
        <v>MEJIAS MENESES</v>
      </c>
      <c r="G798" s="2" t="str">
        <f>VLOOKUP(D798,CORREOS!$A$2:$B$570,2,FALSE)</f>
        <v>NMEJIAS@CL.LUCKIA.COM</v>
      </c>
      <c r="H798" s="24" t="str">
        <f>VLOOKUP(A798,'Informe 2025'!$A$5:$C$164,3,FALSE)</f>
        <v>Curso Lenguaje no Verbal</v>
      </c>
      <c r="I798">
        <f>VLOOKUP(H798,'Informe 2025'!$C$6:$M$166,11,FALSE)</f>
        <v>5</v>
      </c>
    </row>
    <row r="799" spans="1:9" x14ac:dyDescent="0.25">
      <c r="A799" s="2">
        <v>64</v>
      </c>
      <c r="B799" t="str">
        <f>VLOOKUP(A799,'Informe 2025'!$1:$1048576,2,FALSE)</f>
        <v>AGOSTO</v>
      </c>
      <c r="C799" t="s">
        <v>303</v>
      </c>
      <c r="D799" s="20" t="str">
        <f>VLOOKUP(C799,ID!$1:$1048576,4,FALSE)</f>
        <v>102829</v>
      </c>
      <c r="E799" s="20" t="str">
        <f>VLOOKUP(C799,ID!$1:$1048576,3,FALSE)</f>
        <v xml:space="preserve"> WILSON DENNIS</v>
      </c>
      <c r="F799" s="20" t="str">
        <f>VLOOKUP(C799,ID!$1:$1048576,2,FALSE)</f>
        <v>CASTILLO PEREZ</v>
      </c>
      <c r="G799" s="2" t="str">
        <f>VLOOKUP(D799,CORREOS!$A$2:$B$570,2,FALSE)</f>
        <v>WCASTILLO@CL.LUCKIA.COM</v>
      </c>
      <c r="H799" s="24" t="str">
        <f>VLOOKUP(A799,'Informe 2025'!$A$5:$C$164,3,FALSE)</f>
        <v>Curso Lenguaje no Verbal</v>
      </c>
      <c r="I799">
        <f>VLOOKUP(H799,'Informe 2025'!$C$6:$M$166,11,FALSE)</f>
        <v>5</v>
      </c>
    </row>
    <row r="800" spans="1:9" x14ac:dyDescent="0.25">
      <c r="A800" s="2">
        <v>64</v>
      </c>
      <c r="B800" t="str">
        <f>VLOOKUP(A800,'Informe 2025'!$1:$1048576,2,FALSE)</f>
        <v>AGOSTO</v>
      </c>
      <c r="C800" t="s">
        <v>285</v>
      </c>
      <c r="D800" s="20" t="str">
        <f>VLOOKUP(C800,ID!$1:$1048576,4,FALSE)</f>
        <v>102599</v>
      </c>
      <c r="E800" s="20" t="str">
        <f>VLOOKUP(C800,ID!$1:$1048576,3,FALSE)</f>
        <v xml:space="preserve"> EMILIO SEBASTIAN</v>
      </c>
      <c r="F800" s="20" t="str">
        <f>VLOOKUP(C800,ID!$1:$1048576,2,FALSE)</f>
        <v>CACERES GAJARDO</v>
      </c>
      <c r="G800" s="2" t="str">
        <f>VLOOKUP(D800,CORREOS!$A$2:$B$570,2,FALSE)</f>
        <v>ECACERES@CL.LUCKIA.COM</v>
      </c>
      <c r="H800" s="24" t="str">
        <f>VLOOKUP(A800,'Informe 2025'!$A$5:$C$164,3,FALSE)</f>
        <v>Curso Lenguaje no Verbal</v>
      </c>
      <c r="I800">
        <f>VLOOKUP(H800,'Informe 2025'!$C$6:$M$166,11,FALSE)</f>
        <v>5</v>
      </c>
    </row>
    <row r="801" spans="1:9" x14ac:dyDescent="0.25">
      <c r="A801" s="2">
        <v>64</v>
      </c>
      <c r="B801" t="str">
        <f>VLOOKUP(A801,'Informe 2025'!$1:$1048576,2,FALSE)</f>
        <v>AGOSTO</v>
      </c>
      <c r="C801" t="s">
        <v>290</v>
      </c>
      <c r="D801" s="20" t="str">
        <f>VLOOKUP(C801,ID!$1:$1048576,4,FALSE)</f>
        <v>101522</v>
      </c>
      <c r="E801" s="20" t="str">
        <f>VLOOKUP(C801,ID!$1:$1048576,3,FALSE)</f>
        <v xml:space="preserve"> ADAN MOISES</v>
      </c>
      <c r="F801" s="20" t="str">
        <f>VLOOKUP(C801,ID!$1:$1048576,2,FALSE)</f>
        <v>CARRASCO ANABALON</v>
      </c>
      <c r="G801" s="2" t="str">
        <f>VLOOKUP(D801,CORREOS!$A$2:$B$570,2,FALSE)</f>
        <v>ADANMOISES.CARRASCO@CL.LUCKIA.COM</v>
      </c>
      <c r="H801" s="24" t="str">
        <f>VLOOKUP(A801,'Informe 2025'!$A$5:$C$164,3,FALSE)</f>
        <v>Curso Lenguaje no Verbal</v>
      </c>
      <c r="I801">
        <f>VLOOKUP(H801,'Informe 2025'!$C$6:$M$166,11,FALSE)</f>
        <v>5</v>
      </c>
    </row>
    <row r="802" spans="1:9" x14ac:dyDescent="0.25">
      <c r="A802" s="2">
        <v>65</v>
      </c>
      <c r="B802" t="str">
        <f>VLOOKUP(A802,'Informe 2025'!$1:$1048576,2,FALSE)</f>
        <v>AGOSTO</v>
      </c>
      <c r="C802" t="s">
        <v>350</v>
      </c>
      <c r="D802" s="20" t="str">
        <f>VLOOKUP(C802,ID!$1:$1048576,4,FALSE)</f>
        <v>102734</v>
      </c>
      <c r="E802" s="20" t="str">
        <f>VLOOKUP(C802,ID!$1:$1048576,3,FALSE)</f>
        <v xml:space="preserve"> JOSE EDUARDO</v>
      </c>
      <c r="F802" s="20" t="str">
        <f>VLOOKUP(C802,ID!$1:$1048576,2,FALSE)</f>
        <v>FUNEZ SEPULVEDA</v>
      </c>
      <c r="G802" s="2" t="str">
        <f>VLOOKUP(D802,CORREOS!$A$2:$B$570,2,FALSE)</f>
        <v>JFUNEZ@CL.LUCKIA.COM</v>
      </c>
      <c r="H802" s="24" t="str">
        <f>VLOOKUP(A802,'Informe 2025'!$A$5:$C$164,3,FALSE)</f>
        <v>Cuso normativo Uso Racional de la Fuerza</v>
      </c>
      <c r="I802">
        <f>VLOOKUP(H802,'Informe 2025'!$C$6:$M$166,11,FALSE)</f>
        <v>2</v>
      </c>
    </row>
    <row r="803" spans="1:9" x14ac:dyDescent="0.25">
      <c r="A803" s="2">
        <v>65</v>
      </c>
      <c r="B803" t="str">
        <f>VLOOKUP(A803,'Informe 2025'!$1:$1048576,2,FALSE)</f>
        <v>AGOSTO</v>
      </c>
      <c r="C803" t="s">
        <v>1958</v>
      </c>
      <c r="D803" s="20" t="str">
        <f>VLOOKUP(C803,ID!$1:$1048576,4,FALSE)</f>
        <v>104250</v>
      </c>
      <c r="E803" s="20" t="str">
        <f>VLOOKUP(C803,ID!$1:$1048576,3,FALSE)</f>
        <v xml:space="preserve"> LUIS FELIPE</v>
      </c>
      <c r="F803" s="20" t="str">
        <f>VLOOKUP(C803,ID!$1:$1048576,2,FALSE)</f>
        <v>ESPINOZA ESCOBAR</v>
      </c>
      <c r="G803" s="2" t="str">
        <f>VLOOKUP(D803,CORREOS!$A$2:$B$570,2,FALSE)</f>
        <v>LESPINOZA@CL.LUCKIA.COM</v>
      </c>
      <c r="H803" s="24" t="str">
        <f>VLOOKUP(A803,'Informe 2025'!$A$5:$C$164,3,FALSE)</f>
        <v>Cuso normativo Uso Racional de la Fuerza</v>
      </c>
      <c r="I803">
        <f>VLOOKUP(H803,'Informe 2025'!$C$6:$M$166,11,FALSE)</f>
        <v>2</v>
      </c>
    </row>
    <row r="804" spans="1:9" x14ac:dyDescent="0.25">
      <c r="A804" s="2">
        <v>65</v>
      </c>
      <c r="B804" t="str">
        <f>VLOOKUP(A804,'Informe 2025'!$1:$1048576,2,FALSE)</f>
        <v>AGOSTO</v>
      </c>
      <c r="C804" t="s">
        <v>353</v>
      </c>
      <c r="D804" s="20" t="str">
        <f>VLOOKUP(C804,ID!$1:$1048576,4,FALSE)</f>
        <v>102748</v>
      </c>
      <c r="E804" s="20" t="str">
        <f>VLOOKUP(C804,ID!$1:$1048576,3,FALSE)</f>
        <v xml:space="preserve"> EMMERSON</v>
      </c>
      <c r="F804" s="20" t="str">
        <f>VLOOKUP(C804,ID!$1:$1048576,2,FALSE)</f>
        <v>GALVEZ IBARRA</v>
      </c>
      <c r="G804" s="2" t="str">
        <f>VLOOKUP(D804,CORREOS!$A$2:$B$570,2,FALSE)</f>
        <v>EGALVEZ@CL.LUCKIA.COM</v>
      </c>
      <c r="H804" s="24" t="str">
        <f>VLOOKUP(A804,'Informe 2025'!$A$5:$C$164,3,FALSE)</f>
        <v>Cuso normativo Uso Racional de la Fuerza</v>
      </c>
      <c r="I804">
        <f>VLOOKUP(H804,'Informe 2025'!$C$6:$M$166,11,FALSE)</f>
        <v>2</v>
      </c>
    </row>
    <row r="805" spans="1:9" x14ac:dyDescent="0.25">
      <c r="A805" s="2">
        <v>65</v>
      </c>
      <c r="B805" t="str">
        <f>VLOOKUP(A805,'Informe 2025'!$1:$1048576,2,FALSE)</f>
        <v>AGOSTO</v>
      </c>
      <c r="C805" t="s">
        <v>1957</v>
      </c>
      <c r="D805" s="20" t="str">
        <f>VLOOKUP(C805,ID!$1:$1048576,4,FALSE)</f>
        <v>102270</v>
      </c>
      <c r="E805" s="20" t="str">
        <f>VLOOKUP(C805,ID!$1:$1048576,3,FALSE)</f>
        <v xml:space="preserve"> FRANKIE IVAN</v>
      </c>
      <c r="F805" s="20" t="str">
        <f>VLOOKUP(C805,ID!$1:$1048576,2,FALSE)</f>
        <v>GARCIA URRUTIA</v>
      </c>
      <c r="G805" s="2" t="str">
        <f>VLOOKUP(D805,CORREOS!$A$2:$B$570,2,FALSE)</f>
        <v>FGURRUTIA@EGASACHILE.COM</v>
      </c>
      <c r="H805" s="24" t="str">
        <f>VLOOKUP(A805,'Informe 2025'!$A$5:$C$164,3,FALSE)</f>
        <v>Cuso normativo Uso Racional de la Fuerza</v>
      </c>
      <c r="I805">
        <f>VLOOKUP(H805,'Informe 2025'!$C$6:$M$166,11,FALSE)</f>
        <v>2</v>
      </c>
    </row>
    <row r="806" spans="1:9" x14ac:dyDescent="0.25">
      <c r="A806" s="2">
        <v>65</v>
      </c>
      <c r="B806" t="str">
        <f>VLOOKUP(A806,'Informe 2025'!$1:$1048576,2,FALSE)</f>
        <v>AGOSTO</v>
      </c>
      <c r="C806" t="s">
        <v>415</v>
      </c>
      <c r="D806" s="20" t="str">
        <f>VLOOKUP(C806,ID!$1:$1048576,4,FALSE)</f>
        <v>102041</v>
      </c>
      <c r="E806" s="20" t="str">
        <f>VLOOKUP(C806,ID!$1:$1048576,3,FALSE)</f>
        <v xml:space="preserve"> JUAN ALBERTO</v>
      </c>
      <c r="F806" s="20" t="str">
        <f>VLOOKUP(C806,ID!$1:$1048576,2,FALSE)</f>
        <v>MENDEZ RIVERA</v>
      </c>
      <c r="G806" s="2" t="str">
        <f>VLOOKUP(D806,CORREOS!$A$2:$B$570,2,FALSE)</f>
        <v>JMRIVERA@CL.LUCKIA.COM</v>
      </c>
      <c r="H806" s="24" t="str">
        <f>VLOOKUP(A806,'Informe 2025'!$A$5:$C$164,3,FALSE)</f>
        <v>Cuso normativo Uso Racional de la Fuerza</v>
      </c>
      <c r="I806">
        <f>VLOOKUP(H806,'Informe 2025'!$C$6:$M$166,11,FALSE)</f>
        <v>2</v>
      </c>
    </row>
    <row r="807" spans="1:9" x14ac:dyDescent="0.25">
      <c r="A807" s="2">
        <v>65</v>
      </c>
      <c r="B807" t="str">
        <f>VLOOKUP(A807,'Informe 2025'!$1:$1048576,2,FALSE)</f>
        <v>AGOSTO</v>
      </c>
      <c r="C807" t="s">
        <v>391</v>
      </c>
      <c r="D807" s="20" t="str">
        <f>VLOOKUP(C807,ID!$1:$1048576,4,FALSE)</f>
        <v>102069</v>
      </c>
      <c r="E807" s="20" t="str">
        <f>VLOOKUP(C807,ID!$1:$1048576,3,FALSE)</f>
        <v xml:space="preserve"> VIVIANA JEANNETTE</v>
      </c>
      <c r="F807" s="20" t="str">
        <f>VLOOKUP(C807,ID!$1:$1048576,2,FALSE)</f>
        <v>JORQUERA OLIVARES</v>
      </c>
      <c r="G807" s="2" t="str">
        <f>VLOOKUP(D807,CORREOS!$A$2:$B$570,2,FALSE)</f>
        <v>VJORQUERA@ANTAYHOTELES.CL</v>
      </c>
      <c r="H807" s="24" t="str">
        <f>VLOOKUP(A807,'Informe 2025'!$A$5:$C$164,3,FALSE)</f>
        <v>Cuso normativo Uso Racional de la Fuerza</v>
      </c>
      <c r="I807">
        <f>VLOOKUP(H807,'Informe 2025'!$C$6:$M$166,11,FALSE)</f>
        <v>2</v>
      </c>
    </row>
    <row r="808" spans="1:9" x14ac:dyDescent="0.25">
      <c r="A808" s="2">
        <v>65</v>
      </c>
      <c r="B808" t="str">
        <f>VLOOKUP(A808,'Informe 2025'!$1:$1048576,2,FALSE)</f>
        <v>AGOSTO</v>
      </c>
      <c r="C808" t="s">
        <v>357</v>
      </c>
      <c r="D808" s="20" t="str">
        <f>VLOOKUP(C808,ID!$1:$1048576,4,FALSE)</f>
        <v>101517</v>
      </c>
      <c r="E808" s="20" t="str">
        <f>VLOOKUP(C808,ID!$1:$1048576,3,FALSE)</f>
        <v xml:space="preserve"> VICTOR ALEJANDRO</v>
      </c>
      <c r="F808" s="20" t="str">
        <f>VLOOKUP(C808,ID!$1:$1048576,2,FALSE)</f>
        <v>GATICA ELIAS</v>
      </c>
      <c r="G808" s="2" t="str">
        <f>VLOOKUP(D808,CORREOS!$A$2:$B$570,2,FALSE)</f>
        <v>VICTORALEJANDRO.GATICA@CL.LUCKIA.COM</v>
      </c>
      <c r="H808" s="24" t="str">
        <f>VLOOKUP(A808,'Informe 2025'!$A$5:$C$164,3,FALSE)</f>
        <v>Cuso normativo Uso Racional de la Fuerza</v>
      </c>
      <c r="I808">
        <f>VLOOKUP(H808,'Informe 2025'!$C$6:$M$166,11,FALSE)</f>
        <v>2</v>
      </c>
    </row>
    <row r="809" spans="1:9" x14ac:dyDescent="0.25">
      <c r="A809" s="2">
        <v>65</v>
      </c>
      <c r="B809" t="str">
        <f>VLOOKUP(A809,'Informe 2025'!$1:$1048576,2,FALSE)</f>
        <v>AGOSTO</v>
      </c>
      <c r="C809" t="s">
        <v>1970</v>
      </c>
      <c r="D809" s="20" t="str">
        <f>VLOOKUP(C809,ID!$1:$1048576,4,FALSE)</f>
        <v>104249</v>
      </c>
      <c r="E809" s="20" t="str">
        <f>VLOOKUP(C809,ID!$1:$1048576,3,FALSE)</f>
        <v xml:space="preserve"> JOSE ALEJANDRO</v>
      </c>
      <c r="F809" s="20" t="str">
        <f>VLOOKUP(C809,ID!$1:$1048576,2,FALSE)</f>
        <v>POBLETE PEREZ</v>
      </c>
      <c r="G809" s="2" t="str">
        <f>VLOOKUP(D809,CORREOS!$A$2:$B$570,2,FALSE)</f>
        <v>JPOBLETE@CL.LUCKIA.COM</v>
      </c>
      <c r="H809" s="24" t="str">
        <f>VLOOKUP(A809,'Informe 2025'!$A$5:$C$164,3,FALSE)</f>
        <v>Cuso normativo Uso Racional de la Fuerza</v>
      </c>
      <c r="I809">
        <f>VLOOKUP(H809,'Informe 2025'!$C$6:$M$166,11,FALSE)</f>
        <v>2</v>
      </c>
    </row>
    <row r="810" spans="1:9" x14ac:dyDescent="0.25">
      <c r="A810" s="2">
        <v>65</v>
      </c>
      <c r="B810" t="str">
        <f>VLOOKUP(A810,'Informe 2025'!$1:$1048576,2,FALSE)</f>
        <v>AGOSTO</v>
      </c>
      <c r="C810" t="s">
        <v>1655</v>
      </c>
      <c r="D810" s="20" t="str">
        <f>VLOOKUP(C810,ID!$1:$1048576,4,FALSE)</f>
        <v>103880</v>
      </c>
      <c r="E810" s="20" t="str">
        <f>VLOOKUP(C810,ID!$1:$1048576,3,FALSE)</f>
        <v xml:space="preserve"> YORMAN JOEL</v>
      </c>
      <c r="F810" s="20" t="str">
        <f>VLOOKUP(C810,ID!$1:$1048576,2,FALSE)</f>
        <v>OBANDO VIVAS</v>
      </c>
      <c r="G810" s="2" t="e">
        <f>VLOOKUP(D810,CORREOS!$A$2:$B$570,2,FALSE)</f>
        <v>#N/A</v>
      </c>
      <c r="H810" s="24" t="str">
        <f>VLOOKUP(A810,'Informe 2025'!$A$5:$C$164,3,FALSE)</f>
        <v>Cuso normativo Uso Racional de la Fuerza</v>
      </c>
      <c r="I810">
        <f>VLOOKUP(H810,'Informe 2025'!$C$6:$M$166,11,FALSE)</f>
        <v>2</v>
      </c>
    </row>
    <row r="811" spans="1:9" x14ac:dyDescent="0.25">
      <c r="A811" s="2">
        <v>65</v>
      </c>
      <c r="B811" t="str">
        <f>VLOOKUP(A811,'Informe 2025'!$1:$1048576,2,FALSE)</f>
        <v>AGOSTO</v>
      </c>
      <c r="C811" t="s">
        <v>312</v>
      </c>
      <c r="D811" s="20" t="str">
        <f>VLOOKUP(C811,ID!$1:$1048576,4,FALSE)</f>
        <v>102755</v>
      </c>
      <c r="E811" s="20" t="str">
        <f>VLOOKUP(C811,ID!$1:$1048576,3,FALSE)</f>
        <v xml:space="preserve"> LEONARDO ALEXIS</v>
      </c>
      <c r="F811" s="20" t="str">
        <f>VLOOKUP(C811,ID!$1:$1048576,2,FALSE)</f>
        <v>CISTERNAS YANAPA</v>
      </c>
      <c r="G811" s="2" t="str">
        <f>VLOOKUP(D811,CORREOS!$A$2:$B$570,2,FALSE)</f>
        <v>LCISTERNAS@CL.LUCKIA.COM</v>
      </c>
      <c r="H811" s="24" t="str">
        <f>VLOOKUP(A811,'Informe 2025'!$A$5:$C$164,3,FALSE)</f>
        <v>Cuso normativo Uso Racional de la Fuerza</v>
      </c>
      <c r="I811">
        <f>VLOOKUP(H811,'Informe 2025'!$C$6:$M$166,11,FALSE)</f>
        <v>2</v>
      </c>
    </row>
    <row r="812" spans="1:9" x14ac:dyDescent="0.25">
      <c r="A812" s="2">
        <v>65</v>
      </c>
      <c r="B812" t="str">
        <f>VLOOKUP(A812,'Informe 2025'!$1:$1048576,2,FALSE)</f>
        <v>AGOSTO</v>
      </c>
      <c r="C812" t="s">
        <v>402</v>
      </c>
      <c r="D812" s="20" t="str">
        <f>VLOOKUP(C812,ID!$1:$1048576,4,FALSE)</f>
        <v>103465</v>
      </c>
      <c r="E812" s="20" t="str">
        <f>VLOOKUP(C812,ID!$1:$1048576,3,FALSE)</f>
        <v xml:space="preserve"> NICOLAS ANDRES</v>
      </c>
      <c r="F812" s="20" t="str">
        <f>VLOOKUP(C812,ID!$1:$1048576,2,FALSE)</f>
        <v>LOPEZ VEGA</v>
      </c>
      <c r="G812" s="2" t="str">
        <f>VLOOKUP(D812,CORREOS!$A$2:$B$570,2,FALSE)</f>
        <v>NLVEGA@CL.LUCKIA.COM</v>
      </c>
      <c r="H812" s="24" t="str">
        <f>VLOOKUP(A812,'Informe 2025'!$A$5:$C$164,3,FALSE)</f>
        <v>Cuso normativo Uso Racional de la Fuerza</v>
      </c>
      <c r="I812">
        <f>VLOOKUP(H812,'Informe 2025'!$C$6:$M$166,11,FALSE)</f>
        <v>2</v>
      </c>
    </row>
    <row r="813" spans="1:9" x14ac:dyDescent="0.25">
      <c r="A813" s="2">
        <v>65</v>
      </c>
      <c r="B813" t="str">
        <f>VLOOKUP(A813,'Informe 2025'!$1:$1048576,2,FALSE)</f>
        <v>AGOSTO</v>
      </c>
      <c r="C813" t="s">
        <v>418</v>
      </c>
      <c r="D813" s="20" t="str">
        <f>VLOOKUP(C813,ID!$1:$1048576,4,FALSE)</f>
        <v>103363</v>
      </c>
      <c r="E813" s="20" t="str">
        <f>VLOOKUP(C813,ID!$1:$1048576,3,FALSE)</f>
        <v xml:space="preserve"> DANIEL NEHEMIAS</v>
      </c>
      <c r="F813" s="20" t="str">
        <f>VLOOKUP(C813,ID!$1:$1048576,2,FALSE)</f>
        <v>MIRANDA QUISPE</v>
      </c>
      <c r="G813" s="2" t="str">
        <f>VLOOKUP(D813,CORREOS!$A$2:$B$570,2,FALSE)</f>
        <v>DMIRANDA@CL.LUCKIA.COM</v>
      </c>
      <c r="H813" s="24" t="str">
        <f>VLOOKUP(A813,'Informe 2025'!$A$5:$C$164,3,FALSE)</f>
        <v>Cuso normativo Uso Racional de la Fuerza</v>
      </c>
      <c r="I813">
        <f>VLOOKUP(H813,'Informe 2025'!$C$6:$M$166,11,FALSE)</f>
        <v>2</v>
      </c>
    </row>
    <row r="814" spans="1:9" x14ac:dyDescent="0.25">
      <c r="A814" s="2">
        <v>65</v>
      </c>
      <c r="B814" t="str">
        <f>VLOOKUP(A814,'Informe 2025'!$1:$1048576,2,FALSE)</f>
        <v>AGOSTO</v>
      </c>
      <c r="C814" t="s">
        <v>414</v>
      </c>
      <c r="D814" s="20" t="str">
        <f>VLOOKUP(C814,ID!$1:$1048576,4,FALSE)</f>
        <v>102342</v>
      </c>
      <c r="E814" s="20" t="str">
        <f>VLOOKUP(C814,ID!$1:$1048576,3,FALSE)</f>
        <v xml:space="preserve"> NICOLAS YENARO</v>
      </c>
      <c r="F814" s="20" t="str">
        <f>VLOOKUP(C814,ID!$1:$1048576,2,FALSE)</f>
        <v>MEJIAS MENESES</v>
      </c>
      <c r="G814" s="2" t="str">
        <f>VLOOKUP(D814,CORREOS!$A$2:$B$570,2,FALSE)</f>
        <v>NMEJIAS@CL.LUCKIA.COM</v>
      </c>
      <c r="H814" s="24" t="str">
        <f>VLOOKUP(A814,'Informe 2025'!$A$5:$C$164,3,FALSE)</f>
        <v>Cuso normativo Uso Racional de la Fuerza</v>
      </c>
      <c r="I814">
        <f>VLOOKUP(H814,'Informe 2025'!$C$6:$M$166,11,FALSE)</f>
        <v>2</v>
      </c>
    </row>
    <row r="815" spans="1:9" x14ac:dyDescent="0.25">
      <c r="A815" s="2">
        <v>65</v>
      </c>
      <c r="B815" t="str">
        <f>VLOOKUP(A815,'Informe 2025'!$1:$1048576,2,FALSE)</f>
        <v>AGOSTO</v>
      </c>
      <c r="C815" t="s">
        <v>303</v>
      </c>
      <c r="D815" s="20" t="str">
        <f>VLOOKUP(C815,ID!$1:$1048576,4,FALSE)</f>
        <v>102829</v>
      </c>
      <c r="E815" s="20" t="str">
        <f>VLOOKUP(C815,ID!$1:$1048576,3,FALSE)</f>
        <v xml:space="preserve"> WILSON DENNIS</v>
      </c>
      <c r="F815" s="20" t="str">
        <f>VLOOKUP(C815,ID!$1:$1048576,2,FALSE)</f>
        <v>CASTILLO PEREZ</v>
      </c>
      <c r="G815" s="2" t="str">
        <f>VLOOKUP(D815,CORREOS!$A$2:$B$570,2,FALSE)</f>
        <v>WCASTILLO@CL.LUCKIA.COM</v>
      </c>
      <c r="H815" s="24" t="str">
        <f>VLOOKUP(A815,'Informe 2025'!$A$5:$C$164,3,FALSE)</f>
        <v>Cuso normativo Uso Racional de la Fuerza</v>
      </c>
      <c r="I815">
        <f>VLOOKUP(H815,'Informe 2025'!$C$6:$M$166,11,FALSE)</f>
        <v>2</v>
      </c>
    </row>
    <row r="816" spans="1:9" x14ac:dyDescent="0.25">
      <c r="A816" s="2">
        <v>65</v>
      </c>
      <c r="B816" t="str">
        <f>VLOOKUP(A816,'Informe 2025'!$1:$1048576,2,FALSE)</f>
        <v>AGOSTO</v>
      </c>
      <c r="C816" t="s">
        <v>499</v>
      </c>
      <c r="D816" s="20" t="str">
        <f>VLOOKUP(C816,ID!$1:$1048576,4,FALSE)</f>
        <v>103464</v>
      </c>
      <c r="E816" s="20" t="str">
        <f>VLOOKUP(C816,ID!$1:$1048576,3,FALSE)</f>
        <v xml:space="preserve"> DIEGO ANDRES</v>
      </c>
      <c r="F816" s="20" t="str">
        <f>VLOOKUP(C816,ID!$1:$1048576,2,FALSE)</f>
        <v>SANCHEZ SUAREZ</v>
      </c>
      <c r="G816" s="2" t="str">
        <f>VLOOKUP(D816,CORREOS!$A$2:$B$570,2,FALSE)</f>
        <v>DSSUAREZ@CL.LUCKIA.COM</v>
      </c>
      <c r="H816" s="24" t="str">
        <f>VLOOKUP(A816,'Informe 2025'!$A$5:$C$164,3,FALSE)</f>
        <v>Cuso normativo Uso Racional de la Fuerza</v>
      </c>
      <c r="I816">
        <f>VLOOKUP(H816,'Informe 2025'!$C$6:$M$166,11,FALSE)</f>
        <v>2</v>
      </c>
    </row>
    <row r="817" spans="1:9" x14ac:dyDescent="0.25">
      <c r="A817" s="2">
        <v>65</v>
      </c>
      <c r="B817" t="str">
        <f>VLOOKUP(A817,'Informe 2025'!$1:$1048576,2,FALSE)</f>
        <v>AGOSTO</v>
      </c>
      <c r="C817" t="s">
        <v>290</v>
      </c>
      <c r="D817" s="20" t="str">
        <f>VLOOKUP(C817,ID!$1:$1048576,4,FALSE)</f>
        <v>101522</v>
      </c>
      <c r="E817" s="20" t="str">
        <f>VLOOKUP(C817,ID!$1:$1048576,3,FALSE)</f>
        <v xml:space="preserve"> ADAN MOISES</v>
      </c>
      <c r="F817" s="20" t="str">
        <f>VLOOKUP(C817,ID!$1:$1048576,2,FALSE)</f>
        <v>CARRASCO ANABALON</v>
      </c>
      <c r="G817" s="2" t="str">
        <f>VLOOKUP(D817,CORREOS!$A$2:$B$570,2,FALSE)</f>
        <v>ADANMOISES.CARRASCO@CL.LUCKIA.COM</v>
      </c>
      <c r="H817" s="24" t="str">
        <f>VLOOKUP(A817,'Informe 2025'!$A$5:$C$164,3,FALSE)</f>
        <v>Cuso normativo Uso Racional de la Fuerza</v>
      </c>
      <c r="I817">
        <f>VLOOKUP(H817,'Informe 2025'!$C$6:$M$166,11,FALSE)</f>
        <v>2</v>
      </c>
    </row>
    <row r="818" spans="1:9" x14ac:dyDescent="0.25">
      <c r="A818" s="2">
        <v>65</v>
      </c>
      <c r="B818" t="str">
        <f>VLOOKUP(A818,'Informe 2025'!$1:$1048576,2,FALSE)</f>
        <v>AGOSTO</v>
      </c>
      <c r="C818" t="s">
        <v>1965</v>
      </c>
      <c r="D818" s="20" t="str">
        <f>VLOOKUP(C818,ID!$1:$1048576,4,FALSE)</f>
        <v>104195</v>
      </c>
      <c r="E818" s="20" t="str">
        <f>VLOOKUP(C818,ID!$1:$1048576,3,FALSE)</f>
        <v xml:space="preserve"> HUMBERTO OSVALDO</v>
      </c>
      <c r="F818" s="20" t="str">
        <f>VLOOKUP(C818,ID!$1:$1048576,2,FALSE)</f>
        <v>CHAMBE GUZMAN</v>
      </c>
      <c r="G818" s="2" t="str">
        <f>VLOOKUP(D818,CORREOS!$A$2:$B$570,2,FALSE)</f>
        <v>HCHAMBE@CL.LUCKIA.COM</v>
      </c>
      <c r="H818" s="24" t="str">
        <f>VLOOKUP(A818,'Informe 2025'!$A$5:$C$164,3,FALSE)</f>
        <v>Cuso normativo Uso Racional de la Fuerza</v>
      </c>
      <c r="I818">
        <f>VLOOKUP(H818,'Informe 2025'!$C$6:$M$166,11,FALSE)</f>
        <v>2</v>
      </c>
    </row>
    <row r="819" spans="1:9" x14ac:dyDescent="0.25">
      <c r="A819" s="2">
        <v>65</v>
      </c>
      <c r="B819" t="str">
        <f>VLOOKUP(A819,'Informe 2025'!$1:$1048576,2,FALSE)</f>
        <v>AGOSTO</v>
      </c>
      <c r="C819" t="s">
        <v>1914</v>
      </c>
      <c r="D819" s="20" t="str">
        <f>VLOOKUP(C819,ID!$1:$1048576,4,FALSE)</f>
        <v>102705</v>
      </c>
      <c r="E819" s="20" t="str">
        <f>VLOOKUP(C819,ID!$1:$1048576,3,FALSE)</f>
        <v xml:space="preserve"> CLAUDIO ALBERTO</v>
      </c>
      <c r="F819" s="20" t="str">
        <f>VLOOKUP(C819,ID!$1:$1048576,2,FALSE)</f>
        <v>CARRASCO MEDEL</v>
      </c>
      <c r="G819" s="2" t="str">
        <f>VLOOKUP(D819,CORREOS!$A$2:$B$570,2,FALSE)</f>
        <v>CCARRASCO@CL.LUCKIA.COM</v>
      </c>
      <c r="H819" s="24" t="str">
        <f>VLOOKUP(A819,'Informe 2025'!$A$5:$C$164,3,FALSE)</f>
        <v>Cuso normativo Uso Racional de la Fuerza</v>
      </c>
      <c r="I819">
        <f>VLOOKUP(H819,'Informe 2025'!$C$6:$M$166,11,FALSE)</f>
        <v>2</v>
      </c>
    </row>
    <row r="820" spans="1:9" x14ac:dyDescent="0.25">
      <c r="A820" s="2">
        <v>65</v>
      </c>
      <c r="B820" t="str">
        <f>VLOOKUP(A820,'Informe 2025'!$1:$1048576,2,FALSE)</f>
        <v>AGOSTO</v>
      </c>
      <c r="C820" t="s">
        <v>493</v>
      </c>
      <c r="D820" s="20" t="str">
        <f>VLOOKUP(C820,ID!$1:$1048576,4,FALSE)</f>
        <v>102704</v>
      </c>
      <c r="E820" s="20" t="str">
        <f>VLOOKUP(C820,ID!$1:$1048576,3,FALSE)</f>
        <v xml:space="preserve"> DIEGO ENRIQUE</v>
      </c>
      <c r="F820" s="20" t="str">
        <f>VLOOKUP(C820,ID!$1:$1048576,2,FALSE)</f>
        <v>SAJAMA CRUZ</v>
      </c>
      <c r="G820" s="2" t="str">
        <f>VLOOKUP(D820,CORREOS!$A$2:$B$570,2,FALSE)</f>
        <v>DSAJAMA@CL.LUCKIA.COM</v>
      </c>
      <c r="H820" s="24" t="str">
        <f>VLOOKUP(A820,'Informe 2025'!$A$5:$C$164,3,FALSE)</f>
        <v>Cuso normativo Uso Racional de la Fuerza</v>
      </c>
      <c r="I820">
        <f>VLOOKUP(H820,'Informe 2025'!$C$6:$M$166,11,FALSE)</f>
        <v>2</v>
      </c>
    </row>
    <row r="821" spans="1:9" x14ac:dyDescent="0.25">
      <c r="A821" s="2">
        <v>65</v>
      </c>
      <c r="B821" t="str">
        <f>VLOOKUP(A821,'Informe 2025'!$1:$1048576,2,FALSE)</f>
        <v>AGOSTO</v>
      </c>
      <c r="C821" t="s">
        <v>251</v>
      </c>
      <c r="D821" s="20" t="str">
        <f>VLOOKUP(C821,ID!$1:$1048576,4,FALSE)</f>
        <v>102611</v>
      </c>
      <c r="E821" s="20" t="str">
        <f>VLOOKUP(C821,ID!$1:$1048576,3,FALSE)</f>
        <v xml:space="preserve"> DIEGO ALEXIS</v>
      </c>
      <c r="F821" s="20" t="str">
        <f>VLOOKUP(C821,ID!$1:$1048576,2,FALSE)</f>
        <v>ALID ALID</v>
      </c>
      <c r="G821" s="2" t="str">
        <f>VLOOKUP(D821,CORREOS!$A$2:$B$570,2,FALSE)</f>
        <v>DALID@ANTAYHOTELES.CL</v>
      </c>
      <c r="H821" s="24" t="str">
        <f>VLOOKUP(A821,'Informe 2025'!$A$5:$C$164,3,FALSE)</f>
        <v>Cuso normativo Uso Racional de la Fuerza</v>
      </c>
      <c r="I821">
        <f>VLOOKUP(H821,'Informe 2025'!$C$6:$M$166,11,FALSE)</f>
        <v>2</v>
      </c>
    </row>
    <row r="822" spans="1:9" x14ac:dyDescent="0.25">
      <c r="A822" s="2">
        <v>65</v>
      </c>
      <c r="B822" t="str">
        <f>VLOOKUP(A822,'Informe 2025'!$1:$1048576,2,FALSE)</f>
        <v>AGOSTO</v>
      </c>
      <c r="C822" t="s">
        <v>285</v>
      </c>
      <c r="D822" s="20" t="str">
        <f>VLOOKUP(C822,ID!$1:$1048576,4,FALSE)</f>
        <v>102599</v>
      </c>
      <c r="E822" s="20" t="str">
        <f>VLOOKUP(C822,ID!$1:$1048576,3,FALSE)</f>
        <v xml:space="preserve"> EMILIO SEBASTIAN</v>
      </c>
      <c r="F822" s="20" t="str">
        <f>VLOOKUP(C822,ID!$1:$1048576,2,FALSE)</f>
        <v>CACERES GAJARDO</v>
      </c>
      <c r="G822" s="2" t="str">
        <f>VLOOKUP(D822,CORREOS!$A$2:$B$570,2,FALSE)</f>
        <v>ECACERES@CL.LUCKIA.COM</v>
      </c>
      <c r="H822" s="24" t="str">
        <f>VLOOKUP(A822,'Informe 2025'!$A$5:$C$164,3,FALSE)</f>
        <v>Cuso normativo Uso Racional de la Fuerza</v>
      </c>
      <c r="I822">
        <f>VLOOKUP(H822,'Informe 2025'!$C$6:$M$166,11,FALSE)</f>
        <v>2</v>
      </c>
    </row>
    <row r="823" spans="1:9" x14ac:dyDescent="0.25">
      <c r="A823" s="2">
        <v>66</v>
      </c>
      <c r="B823" t="str">
        <f>VLOOKUP(A823,'Informe 2025'!$1:$1048576,2,FALSE)</f>
        <v>AGOSTO</v>
      </c>
      <c r="C823" t="s">
        <v>450</v>
      </c>
      <c r="D823" s="20" t="str">
        <f>VLOOKUP(C823,ID!$1:$1048576,4,FALSE)</f>
        <v>101327</v>
      </c>
      <c r="E823" s="20" t="str">
        <f>VLOOKUP(C823,ID!$1:$1048576,3,FALSE)</f>
        <v xml:space="preserve"> JOSE ARTURO</v>
      </c>
      <c r="F823" s="20" t="str">
        <f>VLOOKUP(C823,ID!$1:$1048576,2,FALSE)</f>
        <v>PADILLA LAZARO</v>
      </c>
      <c r="G823" s="2" t="str">
        <f>VLOOKUP(D823,CORREOS!$A$2:$B$570,2,FALSE)</f>
        <v>JOSE.PADILLA@CL.LUCKIA.COM</v>
      </c>
      <c r="H823" s="24" t="str">
        <f>VLOOKUP(A823,'Informe 2025'!$A$5:$C$164,3,FALSE)</f>
        <v>Tutores de Integración</v>
      </c>
      <c r="I823">
        <f>VLOOKUP(H823,'Informe 2025'!$C$6:$M$166,11,FALSE)</f>
        <v>1</v>
      </c>
    </row>
    <row r="824" spans="1:9" x14ac:dyDescent="0.25">
      <c r="A824" s="2">
        <v>66</v>
      </c>
      <c r="B824" t="str">
        <f>VLOOKUP(A824,'Informe 2025'!$1:$1048576,2,FALSE)</f>
        <v>AGOSTO</v>
      </c>
      <c r="C824" t="s">
        <v>454</v>
      </c>
      <c r="D824" s="20" t="str">
        <f>VLOOKUP(C824,ID!$1:$1048576,4,FALSE)</f>
        <v>101586</v>
      </c>
      <c r="E824" s="20" t="str">
        <f>VLOOKUP(C824,ID!$1:$1048576,3,FALSE)</f>
        <v xml:space="preserve"> FERNANDO ALFREDO</v>
      </c>
      <c r="F824" s="20" t="str">
        <f>VLOOKUP(C824,ID!$1:$1048576,2,FALSE)</f>
        <v>PASTEN ROJAS</v>
      </c>
      <c r="G824" s="2" t="str">
        <f>VLOOKUP(D824,CORREOS!$A$2:$B$570,2,FALSE)</f>
        <v>FERNANDOALFREDO.PASTEN@ANTAYHOTELES.CL</v>
      </c>
      <c r="H824" s="24" t="str">
        <f>VLOOKUP(A824,'Informe 2025'!$A$5:$C$164,3,FALSE)</f>
        <v>Tutores de Integración</v>
      </c>
      <c r="I824">
        <f>VLOOKUP(H824,'Informe 2025'!$C$6:$M$166,11,FALSE)</f>
        <v>1</v>
      </c>
    </row>
    <row r="825" spans="1:9" x14ac:dyDescent="0.25">
      <c r="A825" s="2">
        <v>66</v>
      </c>
      <c r="B825" t="str">
        <f>VLOOKUP(A825,'Informe 2025'!$1:$1048576,2,FALSE)</f>
        <v>AGOSTO</v>
      </c>
      <c r="C825" t="s">
        <v>262</v>
      </c>
      <c r="D825" s="20" t="str">
        <f>VLOOKUP(C825,ID!$1:$1048576,4,FALSE)</f>
        <v>101555</v>
      </c>
      <c r="E825" s="20" t="str">
        <f>VLOOKUP(C825,ID!$1:$1048576,3,FALSE)</f>
        <v xml:space="preserve"> VICTORIA MACARENA</v>
      </c>
      <c r="F825" s="20" t="str">
        <f>VLOOKUP(C825,ID!$1:$1048576,2,FALSE)</f>
        <v>ARANIBAR BRIONES</v>
      </c>
      <c r="G825" s="2" t="str">
        <f>VLOOKUP(D825,CORREOS!$A$2:$B$570,2,FALSE)</f>
        <v>VICTORIAMACARENA.ARANIBAR@CL.LUCKIA.COM</v>
      </c>
      <c r="H825" s="24" t="str">
        <f>VLOOKUP(A825,'Informe 2025'!$A$5:$C$164,3,FALSE)</f>
        <v>Tutores de Integración</v>
      </c>
      <c r="I825">
        <f>VLOOKUP(H825,'Informe 2025'!$C$6:$M$166,11,FALSE)</f>
        <v>1</v>
      </c>
    </row>
    <row r="826" spans="1:9" x14ac:dyDescent="0.25">
      <c r="A826" s="2">
        <v>66</v>
      </c>
      <c r="B826" t="str">
        <f>VLOOKUP(A826,'Informe 2025'!$1:$1048576,2,FALSE)</f>
        <v>AGOSTO</v>
      </c>
      <c r="C826" t="s">
        <v>517</v>
      </c>
      <c r="D826" s="20" t="str">
        <f>VLOOKUP(C826,ID!$1:$1048576,4,FALSE)</f>
        <v>102350</v>
      </c>
      <c r="E826" s="20" t="str">
        <f>VLOOKUP(C826,ID!$1:$1048576,3,FALSE)</f>
        <v xml:space="preserve"> NICOLE ANDREA</v>
      </c>
      <c r="F826" s="20" t="str">
        <f>VLOOKUP(C826,ID!$1:$1048576,2,FALSE)</f>
        <v>URRUTIA ACUÑA</v>
      </c>
      <c r="G826" s="2" t="str">
        <f>VLOOKUP(D826,CORREOS!$A$2:$B$570,2,FALSE)</f>
        <v>NURRUTIA@ANTAYHOTELES.CL</v>
      </c>
      <c r="H826" s="24" t="str">
        <f>VLOOKUP(A826,'Informe 2025'!$A$5:$C$164,3,FALSE)</f>
        <v>Tutores de Integración</v>
      </c>
      <c r="I826">
        <f>VLOOKUP(H826,'Informe 2025'!$C$6:$M$166,11,FALSE)</f>
        <v>1</v>
      </c>
    </row>
    <row r="827" spans="1:9" x14ac:dyDescent="0.25">
      <c r="A827" s="2">
        <v>66</v>
      </c>
      <c r="B827" t="str">
        <f>VLOOKUP(A827,'Informe 2025'!$1:$1048576,2,FALSE)</f>
        <v>AGOSTO</v>
      </c>
      <c r="C827" t="s">
        <v>360</v>
      </c>
      <c r="D827" s="20" t="str">
        <f>VLOOKUP(C827,ID!$1:$1048576,4,FALSE)</f>
        <v>100753</v>
      </c>
      <c r="E827" s="20" t="str">
        <f>VLOOKUP(C827,ID!$1:$1048576,3,FALSE)</f>
        <v xml:space="preserve"> DIEGO ANTONIO</v>
      </c>
      <c r="F827" s="20" t="str">
        <f>VLOOKUP(C827,ID!$1:$1048576,2,FALSE)</f>
        <v>GODOY PEÑA</v>
      </c>
      <c r="G827" s="2" t="str">
        <f>VLOOKUP(D827,CORREOS!$A$2:$B$570,2,FALSE)</f>
        <v>DIEGO.GODOY@CL.LUCKIA.COM</v>
      </c>
      <c r="H827" s="24" t="str">
        <f>VLOOKUP(A827,'Informe 2025'!$A$5:$C$164,3,FALSE)</f>
        <v>Tutores de Integración</v>
      </c>
      <c r="I827">
        <f>VLOOKUP(H827,'Informe 2025'!$C$6:$M$166,11,FALSE)</f>
        <v>1</v>
      </c>
    </row>
    <row r="828" spans="1:9" x14ac:dyDescent="0.25">
      <c r="A828" s="2">
        <v>66</v>
      </c>
      <c r="B828" t="str">
        <f>VLOOKUP(A828,'Informe 2025'!$1:$1048576,2,FALSE)</f>
        <v>AGOSTO</v>
      </c>
      <c r="C828" t="s">
        <v>243</v>
      </c>
      <c r="D828" s="20" t="str">
        <f>VLOOKUP(C828,ID!$1:$1048576,4,FALSE)</f>
        <v>100348</v>
      </c>
      <c r="E828" s="20" t="str">
        <f>VLOOKUP(C828,ID!$1:$1048576,3,FALSE)</f>
        <v xml:space="preserve"> FATIMA JUDITH</v>
      </c>
      <c r="F828" s="20" t="str">
        <f>VLOOKUP(C828,ID!$1:$1048576,2,FALSE)</f>
        <v>AGUIRRE ESPINOZA</v>
      </c>
      <c r="G828" s="2" t="str">
        <f>VLOOKUP(D828,CORREOS!$A$2:$B$570,2,FALSE)</f>
        <v>JUDITH.AGUIRRE@CL.LUCKIA.COM</v>
      </c>
      <c r="H828" s="24" t="str">
        <f>VLOOKUP(A828,'Informe 2025'!$A$5:$C$164,3,FALSE)</f>
        <v>Tutores de Integración</v>
      </c>
      <c r="I828">
        <f>VLOOKUP(H828,'Informe 2025'!$C$6:$M$166,11,FALSE)</f>
        <v>1</v>
      </c>
    </row>
    <row r="829" spans="1:9" x14ac:dyDescent="0.25">
      <c r="A829" s="2">
        <v>66</v>
      </c>
      <c r="B829" t="str">
        <f>VLOOKUP(A829,'Informe 2025'!$1:$1048576,2,FALSE)</f>
        <v>AGOSTO</v>
      </c>
      <c r="C829" t="s">
        <v>269</v>
      </c>
      <c r="D829" s="20" t="str">
        <f>VLOOKUP(C829,ID!$1:$1048576,4,FALSE)</f>
        <v>101662</v>
      </c>
      <c r="E829" s="20" t="str">
        <f>VLOOKUP(C829,ID!$1:$1048576,3,FALSE)</f>
        <v xml:space="preserve"> CAROLINA ANDREA</v>
      </c>
      <c r="F829" s="20" t="str">
        <f>VLOOKUP(C829,ID!$1:$1048576,2,FALSE)</f>
        <v>ARIAS AEDO</v>
      </c>
      <c r="G829" s="2" t="str">
        <f>VLOOKUP(D829,CORREOS!$A$2:$B$570,2,FALSE)</f>
        <v>CAROLINAANDREA.ARIAS@ANTAYHOTELES.CL</v>
      </c>
      <c r="H829" s="24" t="str">
        <f>VLOOKUP(A829,'Informe 2025'!$A$5:$C$164,3,FALSE)</f>
        <v>Tutores de Integración</v>
      </c>
      <c r="I829">
        <f>VLOOKUP(H829,'Informe 2025'!$C$6:$M$166,11,FALSE)</f>
        <v>1</v>
      </c>
    </row>
    <row r="830" spans="1:9" x14ac:dyDescent="0.25">
      <c r="A830" s="2">
        <v>66</v>
      </c>
      <c r="B830" t="str">
        <f>VLOOKUP(A830,'Informe 2025'!$1:$1048576,2,FALSE)</f>
        <v>AGOSTO</v>
      </c>
      <c r="C830" t="s">
        <v>1644</v>
      </c>
      <c r="D830" s="20" t="str">
        <f>VLOOKUP(C830,ID!$1:$1048576,4,FALSE)</f>
        <v>102452</v>
      </c>
      <c r="E830" s="20" t="str">
        <f>VLOOKUP(C830,ID!$1:$1048576,3,FALSE)</f>
        <v xml:space="preserve"> JOEL JOSE</v>
      </c>
      <c r="F830" s="20" t="str">
        <f>VLOOKUP(C830,ID!$1:$1048576,2,FALSE)</f>
        <v>GONZALEZ VASQUEZ</v>
      </c>
      <c r="G830" s="2" t="e">
        <f>VLOOKUP(D830,CORREOS!$A$2:$B$570,2,FALSE)</f>
        <v>#N/A</v>
      </c>
      <c r="H830" s="24" t="str">
        <f>VLOOKUP(A830,'Informe 2025'!$A$5:$C$164,3,FALSE)</f>
        <v>Tutores de Integración</v>
      </c>
      <c r="I830">
        <f>VLOOKUP(H830,'Informe 2025'!$C$6:$M$166,11,FALSE)</f>
        <v>1</v>
      </c>
    </row>
    <row r="831" spans="1:9" x14ac:dyDescent="0.25">
      <c r="A831" s="2">
        <v>67</v>
      </c>
      <c r="B831" t="str">
        <f>VLOOKUP(A831,'Informe 2025'!$1:$1048576,2,FALSE)</f>
        <v>AGOSTO</v>
      </c>
      <c r="C831" t="s">
        <v>450</v>
      </c>
      <c r="D831" s="20" t="str">
        <f>VLOOKUP(C831,ID!$1:$1048576,4,FALSE)</f>
        <v>101327</v>
      </c>
      <c r="E831" s="20" t="str">
        <f>VLOOKUP(C831,ID!$1:$1048576,3,FALSE)</f>
        <v xml:space="preserve"> JOSE ARTURO</v>
      </c>
      <c r="F831" s="20" t="str">
        <f>VLOOKUP(C831,ID!$1:$1048576,2,FALSE)</f>
        <v>PADILLA LAZARO</v>
      </c>
      <c r="G831" s="2" t="str">
        <f>VLOOKUP(D831,CORREOS!$A$2:$B$570,2,FALSE)</f>
        <v>JOSE.PADILLA@CL.LUCKIA.COM</v>
      </c>
      <c r="H831" s="24" t="str">
        <f>VLOOKUP(A831,'Informe 2025'!$A$5:$C$164,3,FALSE)</f>
        <v>Liderazgo Inclusivo</v>
      </c>
      <c r="I831">
        <f>VLOOKUP(H831,'Informe 2025'!$C$6:$M$166,11,FALSE)</f>
        <v>0.5</v>
      </c>
    </row>
    <row r="832" spans="1:9" x14ac:dyDescent="0.25">
      <c r="A832" s="2">
        <v>67</v>
      </c>
      <c r="B832" t="str">
        <f>VLOOKUP(A832,'Informe 2025'!$1:$1048576,2,FALSE)</f>
        <v>AGOSTO</v>
      </c>
      <c r="C832" t="s">
        <v>454</v>
      </c>
      <c r="D832" s="20" t="str">
        <f>VLOOKUP(C832,ID!$1:$1048576,4,FALSE)</f>
        <v>101586</v>
      </c>
      <c r="E832" s="20" t="str">
        <f>VLOOKUP(C832,ID!$1:$1048576,3,FALSE)</f>
        <v xml:space="preserve"> FERNANDO ALFREDO</v>
      </c>
      <c r="F832" s="20" t="str">
        <f>VLOOKUP(C832,ID!$1:$1048576,2,FALSE)</f>
        <v>PASTEN ROJAS</v>
      </c>
      <c r="G832" s="2" t="str">
        <f>VLOOKUP(D832,CORREOS!$A$2:$B$570,2,FALSE)</f>
        <v>FERNANDOALFREDO.PASTEN@ANTAYHOTELES.CL</v>
      </c>
      <c r="H832" s="24" t="str">
        <f>VLOOKUP(A832,'Informe 2025'!$A$5:$C$164,3,FALSE)</f>
        <v>Liderazgo Inclusivo</v>
      </c>
      <c r="I832">
        <f>VLOOKUP(H832,'Informe 2025'!$C$6:$M$166,11,FALSE)</f>
        <v>0.5</v>
      </c>
    </row>
    <row r="833" spans="1:9" x14ac:dyDescent="0.25">
      <c r="A833" s="2">
        <v>67</v>
      </c>
      <c r="B833" t="str">
        <f>VLOOKUP(A833,'Informe 2025'!$1:$1048576,2,FALSE)</f>
        <v>AGOSTO</v>
      </c>
      <c r="C833" t="s">
        <v>262</v>
      </c>
      <c r="D833" s="20" t="str">
        <f>VLOOKUP(C833,ID!$1:$1048576,4,FALSE)</f>
        <v>101555</v>
      </c>
      <c r="E833" s="20" t="str">
        <f>VLOOKUP(C833,ID!$1:$1048576,3,FALSE)</f>
        <v xml:space="preserve"> VICTORIA MACARENA</v>
      </c>
      <c r="F833" s="20" t="str">
        <f>VLOOKUP(C833,ID!$1:$1048576,2,FALSE)</f>
        <v>ARANIBAR BRIONES</v>
      </c>
      <c r="G833" s="2" t="str">
        <f>VLOOKUP(D833,CORREOS!$A$2:$B$570,2,FALSE)</f>
        <v>VICTORIAMACARENA.ARANIBAR@CL.LUCKIA.COM</v>
      </c>
      <c r="H833" s="24" t="str">
        <f>VLOOKUP(A833,'Informe 2025'!$A$5:$C$164,3,FALSE)</f>
        <v>Liderazgo Inclusivo</v>
      </c>
      <c r="I833">
        <f>VLOOKUP(H833,'Informe 2025'!$C$6:$M$166,11,FALSE)</f>
        <v>0.5</v>
      </c>
    </row>
    <row r="834" spans="1:9" x14ac:dyDescent="0.25">
      <c r="A834" s="2">
        <v>67</v>
      </c>
      <c r="B834" t="str">
        <f>VLOOKUP(A834,'Informe 2025'!$1:$1048576,2,FALSE)</f>
        <v>AGOSTO</v>
      </c>
      <c r="C834" t="s">
        <v>517</v>
      </c>
      <c r="D834" s="20" t="str">
        <f>VLOOKUP(C834,ID!$1:$1048576,4,FALSE)</f>
        <v>102350</v>
      </c>
      <c r="E834" s="20" t="str">
        <f>VLOOKUP(C834,ID!$1:$1048576,3,FALSE)</f>
        <v xml:space="preserve"> NICOLE ANDREA</v>
      </c>
      <c r="F834" s="20" t="str">
        <f>VLOOKUP(C834,ID!$1:$1048576,2,FALSE)</f>
        <v>URRUTIA ACUÑA</v>
      </c>
      <c r="G834" s="2" t="str">
        <f>VLOOKUP(D834,CORREOS!$A$2:$B$570,2,FALSE)</f>
        <v>NURRUTIA@ANTAYHOTELES.CL</v>
      </c>
      <c r="H834" s="24" t="str">
        <f>VLOOKUP(A834,'Informe 2025'!$A$5:$C$164,3,FALSE)</f>
        <v>Liderazgo Inclusivo</v>
      </c>
      <c r="I834">
        <f>VLOOKUP(H834,'Informe 2025'!$C$6:$M$166,11,FALSE)</f>
        <v>0.5</v>
      </c>
    </row>
    <row r="835" spans="1:9" x14ac:dyDescent="0.25">
      <c r="A835" s="2">
        <v>67</v>
      </c>
      <c r="B835" t="str">
        <f>VLOOKUP(A835,'Informe 2025'!$1:$1048576,2,FALSE)</f>
        <v>AGOSTO</v>
      </c>
      <c r="C835" t="s">
        <v>360</v>
      </c>
      <c r="D835" s="20" t="str">
        <f>VLOOKUP(C835,ID!$1:$1048576,4,FALSE)</f>
        <v>100753</v>
      </c>
      <c r="E835" s="20" t="str">
        <f>VLOOKUP(C835,ID!$1:$1048576,3,FALSE)</f>
        <v xml:space="preserve"> DIEGO ANTONIO</v>
      </c>
      <c r="F835" s="20" t="str">
        <f>VLOOKUP(C835,ID!$1:$1048576,2,FALSE)</f>
        <v>GODOY PEÑA</v>
      </c>
      <c r="G835" s="2" t="str">
        <f>VLOOKUP(D835,CORREOS!$A$2:$B$570,2,FALSE)</f>
        <v>DIEGO.GODOY@CL.LUCKIA.COM</v>
      </c>
      <c r="H835" s="24" t="str">
        <f>VLOOKUP(A835,'Informe 2025'!$A$5:$C$164,3,FALSE)</f>
        <v>Liderazgo Inclusivo</v>
      </c>
      <c r="I835">
        <f>VLOOKUP(H835,'Informe 2025'!$C$6:$M$166,11,FALSE)</f>
        <v>0.5</v>
      </c>
    </row>
    <row r="836" spans="1:9" x14ac:dyDescent="0.25">
      <c r="A836" s="2">
        <v>67</v>
      </c>
      <c r="B836" t="str">
        <f>VLOOKUP(A836,'Informe 2025'!$1:$1048576,2,FALSE)</f>
        <v>AGOSTO</v>
      </c>
      <c r="C836" t="s">
        <v>243</v>
      </c>
      <c r="D836" s="20" t="str">
        <f>VLOOKUP(C836,ID!$1:$1048576,4,FALSE)</f>
        <v>100348</v>
      </c>
      <c r="E836" s="20" t="str">
        <f>VLOOKUP(C836,ID!$1:$1048576,3,FALSE)</f>
        <v xml:space="preserve"> FATIMA JUDITH</v>
      </c>
      <c r="F836" s="20" t="str">
        <f>VLOOKUP(C836,ID!$1:$1048576,2,FALSE)</f>
        <v>AGUIRRE ESPINOZA</v>
      </c>
      <c r="G836" s="2" t="str">
        <f>VLOOKUP(D836,CORREOS!$A$2:$B$570,2,FALSE)</f>
        <v>JUDITH.AGUIRRE@CL.LUCKIA.COM</v>
      </c>
      <c r="H836" s="24" t="str">
        <f>VLOOKUP(A836,'Informe 2025'!$A$5:$C$164,3,FALSE)</f>
        <v>Liderazgo Inclusivo</v>
      </c>
      <c r="I836">
        <f>VLOOKUP(H836,'Informe 2025'!$C$6:$M$166,11,FALSE)</f>
        <v>0.5</v>
      </c>
    </row>
    <row r="837" spans="1:9" x14ac:dyDescent="0.25">
      <c r="A837" s="2">
        <v>67</v>
      </c>
      <c r="B837" t="str">
        <f>VLOOKUP(A837,'Informe 2025'!$1:$1048576,2,FALSE)</f>
        <v>AGOSTO</v>
      </c>
      <c r="C837" t="s">
        <v>269</v>
      </c>
      <c r="D837" s="20" t="str">
        <f>VLOOKUP(C837,ID!$1:$1048576,4,FALSE)</f>
        <v>101662</v>
      </c>
      <c r="E837" s="20" t="str">
        <f>VLOOKUP(C837,ID!$1:$1048576,3,FALSE)</f>
        <v xml:space="preserve"> CAROLINA ANDREA</v>
      </c>
      <c r="F837" s="20" t="str">
        <f>VLOOKUP(C837,ID!$1:$1048576,2,FALSE)</f>
        <v>ARIAS AEDO</v>
      </c>
      <c r="G837" s="2" t="str">
        <f>VLOOKUP(D837,CORREOS!$A$2:$B$570,2,FALSE)</f>
        <v>CAROLINAANDREA.ARIAS@ANTAYHOTELES.CL</v>
      </c>
      <c r="H837" s="24" t="str">
        <f>VLOOKUP(A837,'Informe 2025'!$A$5:$C$164,3,FALSE)</f>
        <v>Liderazgo Inclusivo</v>
      </c>
      <c r="I837">
        <f>VLOOKUP(H837,'Informe 2025'!$C$6:$M$166,11,FALSE)</f>
        <v>0.5</v>
      </c>
    </row>
    <row r="838" spans="1:9" x14ac:dyDescent="0.25">
      <c r="A838" s="2">
        <v>67</v>
      </c>
      <c r="B838" t="str">
        <f>VLOOKUP(A838,'Informe 2025'!$1:$1048576,2,FALSE)</f>
        <v>AGOSTO</v>
      </c>
      <c r="C838" t="s">
        <v>1644</v>
      </c>
      <c r="D838" s="20" t="str">
        <f>VLOOKUP(C838,ID!$1:$1048576,4,FALSE)</f>
        <v>102452</v>
      </c>
      <c r="E838" s="20" t="str">
        <f>VLOOKUP(C838,ID!$1:$1048576,3,FALSE)</f>
        <v xml:space="preserve"> JOEL JOSE</v>
      </c>
      <c r="F838" s="20" t="str">
        <f>VLOOKUP(C838,ID!$1:$1048576,2,FALSE)</f>
        <v>GONZALEZ VASQUEZ</v>
      </c>
      <c r="G838" s="2" t="e">
        <f>VLOOKUP(D838,CORREOS!$A$2:$B$570,2,FALSE)</f>
        <v>#N/A</v>
      </c>
      <c r="H838" s="24" t="str">
        <f>VLOOKUP(A838,'Informe 2025'!$A$5:$C$164,3,FALSE)</f>
        <v>Liderazgo Inclusivo</v>
      </c>
      <c r="I838">
        <f>VLOOKUP(H838,'Informe 2025'!$C$6:$M$166,11,FALSE)</f>
        <v>0.5</v>
      </c>
    </row>
    <row r="839" spans="1:9" x14ac:dyDescent="0.25">
      <c r="A839" s="2">
        <v>68</v>
      </c>
      <c r="B839" t="str">
        <f>VLOOKUP(A839,'Informe 2025'!$1:$1048576,2,FALSE)</f>
        <v>AGOSTO</v>
      </c>
      <c r="C839" t="s">
        <v>2562</v>
      </c>
      <c r="D839" s="20" t="str">
        <f>VLOOKUP(C839,ID!$1:$1048576,4,FALSE)</f>
        <v>104303</v>
      </c>
      <c r="E839" s="20" t="str">
        <f>VLOOKUP(C839,ID!$1:$1048576,3,FALSE)</f>
        <v xml:space="preserve"> NICOLE PATRICIA</v>
      </c>
      <c r="F839" s="20" t="str">
        <f>VLOOKUP(C839,ID!$1:$1048576,2,FALSE)</f>
        <v>ALFARO VARGAS</v>
      </c>
      <c r="G839" s="2" t="str">
        <f>VLOOKUP(D839,CORREOS!$A$2:$B$570,2,FALSE)</f>
        <v>NALFARO@ANTAYHOTELES.CL</v>
      </c>
      <c r="H839" s="24" t="str">
        <f>VLOOKUP(A839,'Informe 2025'!$A$5:$C$164,3,FALSE)</f>
        <v>Primeros Auxilio Pediatricos</v>
      </c>
      <c r="I839">
        <f>VLOOKUP(H839,'Informe 2025'!$C$6:$M$166,11,FALSE)</f>
        <v>4</v>
      </c>
    </row>
    <row r="840" spans="1:9" x14ac:dyDescent="0.25">
      <c r="A840" s="2">
        <v>68</v>
      </c>
      <c r="B840" t="str">
        <f>VLOOKUP(A840,'Informe 2025'!$1:$1048576,2,FALSE)</f>
        <v>AGOSTO</v>
      </c>
      <c r="C840" t="s">
        <v>255</v>
      </c>
      <c r="D840" s="20" t="str">
        <f>VLOOKUP(C840,ID!$1:$1048576,4,FALSE)</f>
        <v>102692</v>
      </c>
      <c r="E840" s="20" t="str">
        <f>VLOOKUP(C840,ID!$1:$1048576,3,FALSE)</f>
        <v xml:space="preserve"> CAMILA</v>
      </c>
      <c r="F840" s="20" t="str">
        <f>VLOOKUP(C840,ID!$1:$1048576,2,FALSE)</f>
        <v>ALVAREZ TELLO</v>
      </c>
      <c r="G840" s="2" t="str">
        <f>VLOOKUP(D840,CORREOS!$A$2:$B$570,2,FALSE)</f>
        <v>CATELLO@ANTAYHOTELES.CL</v>
      </c>
      <c r="H840" s="24" t="str">
        <f>VLOOKUP(A840,'Informe 2025'!$A$5:$C$164,3,FALSE)</f>
        <v>Primeros Auxilio Pediatricos</v>
      </c>
      <c r="I840">
        <f>VLOOKUP(H840,'Informe 2025'!$C$6:$M$166,11,FALSE)</f>
        <v>4</v>
      </c>
    </row>
    <row r="841" spans="1:9" x14ac:dyDescent="0.25">
      <c r="A841" s="2">
        <v>68</v>
      </c>
      <c r="B841" t="str">
        <f>VLOOKUP(A841,'Informe 2025'!$1:$1048576,2,FALSE)</f>
        <v>AGOSTO</v>
      </c>
      <c r="C841" t="s">
        <v>520</v>
      </c>
      <c r="D841" s="20" t="str">
        <f>VLOOKUP(C841,ID!$1:$1048576,4,FALSE)</f>
        <v>102459</v>
      </c>
      <c r="E841" s="20" t="str">
        <f>VLOOKUP(C841,ID!$1:$1048576,3,FALSE)</f>
        <v xml:space="preserve"> RENATO BRANCO</v>
      </c>
      <c r="F841" s="20" t="str">
        <f>VLOOKUP(C841,ID!$1:$1048576,2,FALSE)</f>
        <v>VALDIVIA ANDRADE</v>
      </c>
      <c r="G841" s="2" t="str">
        <f>VLOOKUP(D841,CORREOS!$A$2:$B$570,2,FALSE)</f>
        <v>RVALDIVIA@ANTAYHOTELES.CL</v>
      </c>
      <c r="H841" s="24" t="str">
        <f>VLOOKUP(A841,'Informe 2025'!$A$5:$C$164,3,FALSE)</f>
        <v>Primeros Auxilio Pediatricos</v>
      </c>
      <c r="I841">
        <f>VLOOKUP(H841,'Informe 2025'!$C$6:$M$166,11,FALSE)</f>
        <v>4</v>
      </c>
    </row>
    <row r="842" spans="1:9" x14ac:dyDescent="0.25">
      <c r="A842" s="2">
        <v>68</v>
      </c>
      <c r="B842" t="str">
        <f>VLOOKUP(A842,'Informe 2025'!$1:$1048576,2,FALSE)</f>
        <v>AGOSTO</v>
      </c>
      <c r="C842" t="s">
        <v>476</v>
      </c>
      <c r="D842" s="20" t="str">
        <f>VLOOKUP(C842,ID!$1:$1048576,4,FALSE)</f>
        <v>102872</v>
      </c>
      <c r="E842" s="20" t="str">
        <f>VLOOKUP(C842,ID!$1:$1048576,3,FALSE)</f>
        <v xml:space="preserve"> ANDREA JULIAT</v>
      </c>
      <c r="F842" s="20" t="str">
        <f>VLOOKUP(C842,ID!$1:$1048576,2,FALSE)</f>
        <v>RETAMALES HURTADO</v>
      </c>
      <c r="G842" s="2" t="str">
        <f>VLOOKUP(D842,CORREOS!$A$2:$B$570,2,FALSE)</f>
        <v>ARETAMALES@ANTAYHOTELES.CL</v>
      </c>
      <c r="H842" s="24" t="str">
        <f>VLOOKUP(A842,'Informe 2025'!$A$5:$C$164,3,FALSE)</f>
        <v>Primeros Auxilio Pediatricos</v>
      </c>
      <c r="I842">
        <f>VLOOKUP(H842,'Informe 2025'!$C$6:$M$166,11,FALSE)</f>
        <v>4</v>
      </c>
    </row>
    <row r="843" spans="1:9" x14ac:dyDescent="0.25">
      <c r="A843" s="2">
        <v>68</v>
      </c>
      <c r="B843" t="str">
        <f>VLOOKUP(A843,'Informe 2025'!$1:$1048576,2,FALSE)</f>
        <v>AGOSTO</v>
      </c>
      <c r="C843" t="s">
        <v>272</v>
      </c>
      <c r="D843" s="20" t="str">
        <f>VLOOKUP(C843,ID!$1:$1048576,4,FALSE)</f>
        <v>102942</v>
      </c>
      <c r="E843" s="20" t="str">
        <f>VLOOKUP(C843,ID!$1:$1048576,3,FALSE)</f>
        <v xml:space="preserve"> GIULIANA ISIS</v>
      </c>
      <c r="F843" s="20" t="str">
        <f>VLOOKUP(C843,ID!$1:$1048576,2,FALSE)</f>
        <v>ARQUEROS MUÑOZ</v>
      </c>
      <c r="G843" s="2" t="str">
        <f>VLOOKUP(D843,CORREOS!$A$2:$B$570,2,FALSE)</f>
        <v>GAMUNOZ@ANTAYHOTELES.CL</v>
      </c>
      <c r="H843" s="24" t="str">
        <f>VLOOKUP(A843,'Informe 2025'!$A$5:$C$164,3,FALSE)</f>
        <v>Primeros Auxilio Pediatricos</v>
      </c>
      <c r="I843">
        <f>VLOOKUP(H843,'Informe 2025'!$C$6:$M$166,11,FALSE)</f>
        <v>4</v>
      </c>
    </row>
    <row r="844" spans="1:9" x14ac:dyDescent="0.25">
      <c r="A844" s="2">
        <v>68</v>
      </c>
      <c r="B844" t="str">
        <f>VLOOKUP(A844,'Informe 2025'!$1:$1048576,2,FALSE)</f>
        <v>AGOSTO</v>
      </c>
      <c r="C844" t="s">
        <v>1889</v>
      </c>
      <c r="D844" s="20" t="str">
        <f>VLOOKUP(C844,ID!$1:$1048576,4,FALSE)</f>
        <v>103431</v>
      </c>
      <c r="E844" s="20" t="str">
        <f>VLOOKUP(C844,ID!$1:$1048576,3,FALSE)</f>
        <v xml:space="preserve"> FERNANDA NICOLE</v>
      </c>
      <c r="F844" s="20" t="str">
        <f>VLOOKUP(C844,ID!$1:$1048576,2,FALSE)</f>
        <v>GUZMAN ALLENDES</v>
      </c>
      <c r="G844" s="2" t="e">
        <f>VLOOKUP(D844,CORREOS!$A$2:$B$570,2,FALSE)</f>
        <v>#N/A</v>
      </c>
      <c r="H844" s="24" t="str">
        <f>VLOOKUP(A844,'Informe 2025'!$A$5:$C$164,3,FALSE)</f>
        <v>Primeros Auxilio Pediatricos</v>
      </c>
      <c r="I844">
        <f>VLOOKUP(H844,'Informe 2025'!$C$6:$M$166,11,FALSE)</f>
        <v>4</v>
      </c>
    </row>
    <row r="845" spans="1:9" x14ac:dyDescent="0.25">
      <c r="A845" s="2">
        <v>68</v>
      </c>
      <c r="B845" t="str">
        <f>VLOOKUP(A845,'Informe 2025'!$1:$1048576,2,FALSE)</f>
        <v>AGOSTO</v>
      </c>
      <c r="C845" t="s">
        <v>2503</v>
      </c>
      <c r="D845" s="20" t="str">
        <f>VLOOKUP(C845,ID!$1:$1048576,4,FALSE)</f>
        <v>104173</v>
      </c>
      <c r="E845" s="20" t="str">
        <f>VLOOKUP(C845,ID!$1:$1048576,3,FALSE)</f>
        <v xml:space="preserve"> DHAMAR BELEN</v>
      </c>
      <c r="F845" s="20" t="str">
        <f>VLOOKUP(C845,ID!$1:$1048576,2,FALSE)</f>
        <v>ALCANTARA SANCHEZ</v>
      </c>
      <c r="G845" s="2" t="str">
        <f>VLOOKUP(D845,CORREOS!$A$2:$B$570,2,FALSE)</f>
        <v>DALCANTARA@ANTAYHOTELES.CL</v>
      </c>
      <c r="H845" s="24" t="str">
        <f>VLOOKUP(A845,'Informe 2025'!$A$5:$C$164,3,FALSE)</f>
        <v>Primeros Auxilio Pediatricos</v>
      </c>
      <c r="I845">
        <f>VLOOKUP(H845,'Informe 2025'!$C$6:$M$166,11,FALSE)</f>
        <v>4</v>
      </c>
    </row>
    <row r="846" spans="1:9" x14ac:dyDescent="0.25">
      <c r="A846" s="2">
        <v>68</v>
      </c>
      <c r="B846" t="str">
        <f>VLOOKUP(A846,'Informe 2025'!$1:$1048576,2,FALSE)</f>
        <v>AGOSTO</v>
      </c>
      <c r="C846" t="s">
        <v>237</v>
      </c>
      <c r="D846" s="20" t="str">
        <f>VLOOKUP(C846,ID!$1:$1048576,4,FALSE)</f>
        <v>102935</v>
      </c>
      <c r="E846" s="20" t="str">
        <f>VLOOKUP(C846,ID!$1:$1048576,3,FALSE)</f>
        <v xml:space="preserve"> MITZY FERNANDA</v>
      </c>
      <c r="F846" s="20" t="str">
        <f>VLOOKUP(C846,ID!$1:$1048576,2,FALSE)</f>
        <v>ACUÑA PAEZ</v>
      </c>
      <c r="G846" s="2" t="str">
        <f>VLOOKUP(D846,CORREOS!$A$2:$B$570,2,FALSE)</f>
        <v>MACUNA@ANTAYHOTELES.CL</v>
      </c>
      <c r="H846" s="24" t="str">
        <f>VLOOKUP(A846,'Informe 2025'!$A$5:$C$164,3,FALSE)</f>
        <v>Primeros Auxilio Pediatricos</v>
      </c>
      <c r="I846">
        <f>VLOOKUP(H846,'Informe 2025'!$C$6:$M$166,11,FALSE)</f>
        <v>4</v>
      </c>
    </row>
    <row r="847" spans="1:9" x14ac:dyDescent="0.25">
      <c r="A847" s="2">
        <v>68</v>
      </c>
      <c r="B847" t="str">
        <f>VLOOKUP(A847,'Informe 2025'!$1:$1048576,2,FALSE)</f>
        <v>AGOSTO</v>
      </c>
      <c r="C847" t="s">
        <v>471</v>
      </c>
      <c r="D847" s="20" t="str">
        <f>VLOOKUP(C847,ID!$1:$1048576,4,FALSE)</f>
        <v>101575</v>
      </c>
      <c r="E847" s="20" t="str">
        <f>VLOOKUP(C847,ID!$1:$1048576,3,FALSE)</f>
        <v xml:space="preserve"> PRICILA FERNANDA</v>
      </c>
      <c r="F847" s="20" t="str">
        <f>VLOOKUP(C847,ID!$1:$1048576,2,FALSE)</f>
        <v>RAMIREZ ANDAUR</v>
      </c>
      <c r="G847" s="2" t="str">
        <f>VLOOKUP(D847,CORREOS!$A$2:$B$570,2,FALSE)</f>
        <v>PRICILAFERNANDA.RAMIREZ@ANTAYHOTELES.CL</v>
      </c>
      <c r="H847" s="24" t="str">
        <f>VLOOKUP(A847,'Informe 2025'!$A$5:$C$164,3,FALSE)</f>
        <v>Primeros Auxilio Pediatricos</v>
      </c>
      <c r="I847">
        <f>VLOOKUP(H847,'Informe 2025'!$C$6:$M$166,11,FALSE)</f>
        <v>4</v>
      </c>
    </row>
    <row r="848" spans="1:9" x14ac:dyDescent="0.25">
      <c r="A848" s="2">
        <v>68</v>
      </c>
      <c r="B848" t="str">
        <f>VLOOKUP(A848,'Informe 2025'!$1:$1048576,2,FALSE)</f>
        <v>AGOSTO</v>
      </c>
      <c r="C848" t="s">
        <v>289</v>
      </c>
      <c r="D848" s="20" t="str">
        <f>VLOOKUP(C848,ID!$1:$1048576,4,FALSE)</f>
        <v>101866</v>
      </c>
      <c r="E848" s="20" t="str">
        <f>VLOOKUP(C848,ID!$1:$1048576,3,FALSE)</f>
        <v xml:space="preserve"> MELANIE EUGENIA</v>
      </c>
      <c r="F848" s="20" t="str">
        <f>VLOOKUP(C848,ID!$1:$1048576,2,FALSE)</f>
        <v>CARMONA JAIME</v>
      </c>
      <c r="G848" s="2" t="str">
        <f>VLOOKUP(D848,CORREOS!$A$2:$B$570,2,FALSE)</f>
        <v>MCJAIME@ANTAYHOTELES.CL</v>
      </c>
      <c r="H848" s="24" t="str">
        <f>VLOOKUP(A848,'Informe 2025'!$A$5:$C$164,3,FALSE)</f>
        <v>Primeros Auxilio Pediatricos</v>
      </c>
      <c r="I848">
        <f>VLOOKUP(H848,'Informe 2025'!$C$6:$M$166,11,FALSE)</f>
        <v>4</v>
      </c>
    </row>
    <row r="849" spans="1:9" x14ac:dyDescent="0.25">
      <c r="A849" s="2">
        <v>69</v>
      </c>
      <c r="B849" t="str">
        <f>VLOOKUP(A849,'Informe 2025'!$1:$1048576,2,FALSE)</f>
        <v>AGOSTO</v>
      </c>
      <c r="C849" t="s">
        <v>242</v>
      </c>
      <c r="D849" s="20" t="str">
        <f>VLOOKUP(C849,ID!$1:$1048576,4,FALSE)</f>
        <v>102983</v>
      </c>
      <c r="E849" s="20" t="str">
        <f>VLOOKUP(C849,ID!$1:$1048576,3,FALSE)</f>
        <v xml:space="preserve"> MAITTE CONSTANZA</v>
      </c>
      <c r="F849" s="20" t="str">
        <f>VLOOKUP(C849,ID!$1:$1048576,2,FALSE)</f>
        <v>AGUILERA FUENTEALBA</v>
      </c>
      <c r="G849" s="2" t="str">
        <f>VLOOKUP(D849,CORREOS!$A$2:$B$570,2,FALSE)</f>
        <v>MAFUENTEALBA@ANTAYHOTELES.CL</v>
      </c>
      <c r="H849" s="24" t="str">
        <f>VLOOKUP(A849,'Informe 2025'!$A$5:$C$164,3,FALSE)</f>
        <v>Turismo Local</v>
      </c>
      <c r="I849">
        <f>VLOOKUP(H849,'Informe 2025'!$C$6:$M$166,11,FALSE)</f>
        <v>4</v>
      </c>
    </row>
    <row r="850" spans="1:9" x14ac:dyDescent="0.25">
      <c r="A850" s="2">
        <v>69</v>
      </c>
      <c r="B850" t="str">
        <f>VLOOKUP(A850,'Informe 2025'!$1:$1048576,2,FALSE)</f>
        <v>AGOSTO</v>
      </c>
      <c r="C850" t="s">
        <v>308</v>
      </c>
      <c r="D850" s="20" t="str">
        <f>VLOOKUP(C850,ID!$1:$1048576,4,FALSE)</f>
        <v>103601</v>
      </c>
      <c r="E850" s="20" t="str">
        <f>VLOOKUP(C850,ID!$1:$1048576,3,FALSE)</f>
        <v xml:space="preserve"> LUIS FELIPE</v>
      </c>
      <c r="F850" s="20" t="str">
        <f>VLOOKUP(C850,ID!$1:$1048576,2,FALSE)</f>
        <v>CATRIL URZUA</v>
      </c>
      <c r="G850" s="2" t="str">
        <f>VLOOKUP(D850,CORREOS!$A$2:$B$570,2,FALSE)</f>
        <v>LCATRIL@ANTAYHOTELES.CL</v>
      </c>
      <c r="H850" s="24" t="str">
        <f>VLOOKUP(A850,'Informe 2025'!$A$5:$C$164,3,FALSE)</f>
        <v>Turismo Local</v>
      </c>
      <c r="I850">
        <f>VLOOKUP(H850,'Informe 2025'!$C$6:$M$166,11,FALSE)</f>
        <v>4</v>
      </c>
    </row>
    <row r="851" spans="1:9" x14ac:dyDescent="0.25">
      <c r="A851" s="2">
        <v>69</v>
      </c>
      <c r="B851" t="str">
        <f>VLOOKUP(A851,'Informe 2025'!$1:$1048576,2,FALSE)</f>
        <v>AGOSTO</v>
      </c>
      <c r="C851" t="s">
        <v>1645</v>
      </c>
      <c r="D851" s="20" t="str">
        <f>VLOOKUP(C851,ID!$1:$1048576,4,FALSE)</f>
        <v>103855</v>
      </c>
      <c r="E851" s="20" t="str">
        <f>VLOOKUP(C851,ID!$1:$1048576,3,FALSE)</f>
        <v xml:space="preserve"> MELLANY BRILLITT</v>
      </c>
      <c r="F851" s="20" t="str">
        <f>VLOOKUP(C851,ID!$1:$1048576,2,FALSE)</f>
        <v>GRENETT REYES</v>
      </c>
      <c r="G851" s="2" t="e">
        <f>VLOOKUP(D851,CORREOS!$A$2:$B$570,2,FALSE)</f>
        <v>#N/A</v>
      </c>
      <c r="H851" s="24" t="str">
        <f>VLOOKUP(A851,'Informe 2025'!$A$5:$C$164,3,FALSE)</f>
        <v>Turismo Local</v>
      </c>
      <c r="I851">
        <f>VLOOKUP(H851,'Informe 2025'!$C$6:$M$166,11,FALSE)</f>
        <v>4</v>
      </c>
    </row>
    <row r="852" spans="1:9" x14ac:dyDescent="0.25">
      <c r="A852" s="2">
        <v>69</v>
      </c>
      <c r="B852" t="str">
        <f>VLOOKUP(A852,'Informe 2025'!$1:$1048576,2,FALSE)</f>
        <v>AGOSTO</v>
      </c>
      <c r="C852" t="s">
        <v>1636</v>
      </c>
      <c r="D852" s="20" t="str">
        <f>VLOOKUP(C852,ID!$1:$1048576,4,FALSE)</f>
        <v>104004</v>
      </c>
      <c r="E852" s="20" t="str">
        <f>VLOOKUP(C852,ID!$1:$1048576,3,FALSE)</f>
        <v xml:space="preserve"> RENATO EMILIO</v>
      </c>
      <c r="F852" s="20" t="str">
        <f>VLOOKUP(C852,ID!$1:$1048576,2,FALSE)</f>
        <v>CACERES RODRIGUEZ</v>
      </c>
      <c r="G852" s="2" t="e">
        <f>VLOOKUP(D852,CORREOS!$A$2:$B$570,2,FALSE)</f>
        <v>#N/A</v>
      </c>
      <c r="H852" s="24" t="str">
        <f>VLOOKUP(A852,'Informe 2025'!$A$5:$C$164,3,FALSE)</f>
        <v>Turismo Local</v>
      </c>
      <c r="I852">
        <f>VLOOKUP(H852,'Informe 2025'!$C$6:$M$166,11,FALSE)</f>
        <v>4</v>
      </c>
    </row>
    <row r="853" spans="1:9" x14ac:dyDescent="0.25">
      <c r="A853" s="2">
        <v>69</v>
      </c>
      <c r="B853" t="str">
        <f>VLOOKUP(A853,'Informe 2025'!$1:$1048576,2,FALSE)</f>
        <v>AGOSTO</v>
      </c>
      <c r="C853" t="s">
        <v>446</v>
      </c>
      <c r="D853" s="20" t="str">
        <f>VLOOKUP(C853,ID!$1:$1048576,4,FALSE)</f>
        <v>103033</v>
      </c>
      <c r="E853" s="20" t="str">
        <f>VLOOKUP(C853,ID!$1:$1048576,3,FALSE)</f>
        <v xml:space="preserve"> INDIGO AMALIA</v>
      </c>
      <c r="F853" s="20" t="str">
        <f>VLOOKUP(C853,ID!$1:$1048576,2,FALSE)</f>
        <v>OSORIO SEPULVEDA</v>
      </c>
      <c r="G853" s="2" t="str">
        <f>VLOOKUP(D853,CORREOS!$A$2:$B$570,2,FALSE)</f>
        <v>IOSORIO@ANTAYHOTELES.CL</v>
      </c>
      <c r="H853" s="24" t="str">
        <f>VLOOKUP(A853,'Informe 2025'!$A$5:$C$164,3,FALSE)</f>
        <v>Turismo Local</v>
      </c>
      <c r="I853">
        <f>VLOOKUP(H853,'Informe 2025'!$C$6:$M$166,11,FALSE)</f>
        <v>4</v>
      </c>
    </row>
    <row r="854" spans="1:9" x14ac:dyDescent="0.25">
      <c r="A854" s="2">
        <v>69</v>
      </c>
      <c r="B854" t="str">
        <f>VLOOKUP(A854,'Informe 2025'!$1:$1048576,2,FALSE)</f>
        <v>AGOSTO</v>
      </c>
      <c r="C854" t="s">
        <v>244</v>
      </c>
      <c r="D854" s="20" t="str">
        <f>VLOOKUP(C854,ID!$1:$1048576,4,FALSE)</f>
        <v>102834</v>
      </c>
      <c r="E854" s="20" t="str">
        <f>VLOOKUP(C854,ID!$1:$1048576,3,FALSE)</f>
        <v xml:space="preserve"> DANIEL ROMUALDO</v>
      </c>
      <c r="F854" s="20" t="str">
        <f>VLOOKUP(C854,ID!$1:$1048576,2,FALSE)</f>
        <v>AGUIRRE MEDINA</v>
      </c>
      <c r="G854" s="2" t="str">
        <f>VLOOKUP(D854,CORREOS!$A$2:$B$570,2,FALSE)</f>
        <v>DAGUIRRE@ANTAYHOTELES.CL</v>
      </c>
      <c r="H854" s="24" t="str">
        <f>VLOOKUP(A854,'Informe 2025'!$A$5:$C$164,3,FALSE)</f>
        <v>Turismo Local</v>
      </c>
      <c r="I854">
        <f>VLOOKUP(H854,'Informe 2025'!$C$6:$M$166,11,FALSE)</f>
        <v>4</v>
      </c>
    </row>
    <row r="855" spans="1:9" x14ac:dyDescent="0.25">
      <c r="A855" s="2">
        <v>69</v>
      </c>
      <c r="B855" t="str">
        <f>VLOOKUP(A855,'Informe 2025'!$1:$1048576,2,FALSE)</f>
        <v>AGOSTO</v>
      </c>
      <c r="C855" t="s">
        <v>294</v>
      </c>
      <c r="D855" s="20" t="str">
        <f>VLOOKUP(C855,ID!$1:$1048576,4,FALSE)</f>
        <v>102288</v>
      </c>
      <c r="E855" s="20" t="str">
        <f>VLOOKUP(C855,ID!$1:$1048576,3,FALSE)</f>
        <v xml:space="preserve"> ESTRELLA MERCEDES</v>
      </c>
      <c r="F855" s="20" t="str">
        <f>VLOOKUP(C855,ID!$1:$1048576,2,FALSE)</f>
        <v>CARRASCO YAÑEZ</v>
      </c>
      <c r="G855" s="2" t="str">
        <f>VLOOKUP(D855,CORREOS!$A$2:$B$570,2,FALSE)</f>
        <v>ECARRASCO@ANTAYHOTELES.CL</v>
      </c>
      <c r="H855" s="24" t="str">
        <f>VLOOKUP(A855,'Informe 2025'!$A$5:$C$164,3,FALSE)</f>
        <v>Turismo Local</v>
      </c>
      <c r="I855">
        <f>VLOOKUP(H855,'Informe 2025'!$C$6:$M$166,11,FALSE)</f>
        <v>4</v>
      </c>
    </row>
    <row r="856" spans="1:9" x14ac:dyDescent="0.25">
      <c r="A856" s="2">
        <v>69</v>
      </c>
      <c r="B856" t="str">
        <f>VLOOKUP(A856,'Informe 2025'!$1:$1048576,2,FALSE)</f>
        <v>AGOSTO</v>
      </c>
      <c r="C856" t="s">
        <v>364</v>
      </c>
      <c r="D856" s="20" t="str">
        <f>VLOOKUP(C856,ID!$1:$1048576,4,FALSE)</f>
        <v>102982</v>
      </c>
      <c r="E856" s="20" t="str">
        <f>VLOOKUP(C856,ID!$1:$1048576,3,FALSE)</f>
        <v xml:space="preserve"> CELINA</v>
      </c>
      <c r="F856" s="20" t="str">
        <f>VLOOKUP(C856,ID!$1:$1048576,2,FALSE)</f>
        <v>GOMEZ OJEDA</v>
      </c>
      <c r="G856" s="2" t="str">
        <f>VLOOKUP(D856,CORREOS!$A$2:$B$570,2,FALSE)</f>
        <v>CGOJEDA@ANTAYHOTELES.CL</v>
      </c>
      <c r="H856" s="24" t="str">
        <f>VLOOKUP(A856,'Informe 2025'!$A$5:$C$164,3,FALSE)</f>
        <v>Turismo Local</v>
      </c>
      <c r="I856">
        <f>VLOOKUP(H856,'Informe 2025'!$C$6:$M$166,11,FALSE)</f>
        <v>4</v>
      </c>
    </row>
    <row r="857" spans="1:9" x14ac:dyDescent="0.25">
      <c r="A857" s="2">
        <v>69</v>
      </c>
      <c r="B857" t="str">
        <f>VLOOKUP(A857,'Informe 2025'!$1:$1048576,2,FALSE)</f>
        <v>AGOSTO</v>
      </c>
      <c r="C857" t="s">
        <v>390</v>
      </c>
      <c r="D857" s="20" t="str">
        <f>VLOOKUP(C857,ID!$1:$1048576,4,FALSE)</f>
        <v>102642</v>
      </c>
      <c r="E857" s="20" t="str">
        <f>VLOOKUP(C857,ID!$1:$1048576,3,FALSE)</f>
        <v xml:space="preserve"> JOSE LUIS</v>
      </c>
      <c r="F857" s="20" t="str">
        <f>VLOOKUP(C857,ID!$1:$1048576,2,FALSE)</f>
        <v>JIMENEZ VILLALOBOS</v>
      </c>
      <c r="G857" s="2" t="str">
        <f>VLOOKUP(D857,CORREOS!$A$2:$B$570,2,FALSE)</f>
        <v>JJVILLALOBOS@ANTAYHOTELES.CL</v>
      </c>
      <c r="H857" s="24" t="str">
        <f>VLOOKUP(A857,'Informe 2025'!$A$5:$C$164,3,FALSE)</f>
        <v>Turismo Local</v>
      </c>
      <c r="I857">
        <f>VLOOKUP(H857,'Informe 2025'!$C$6:$M$166,11,FALSE)</f>
        <v>4</v>
      </c>
    </row>
    <row r="858" spans="1:9" x14ac:dyDescent="0.25">
      <c r="A858" s="2">
        <v>69</v>
      </c>
      <c r="B858" t="str">
        <f>VLOOKUP(A858,'Informe 2025'!$1:$1048576,2,FALSE)</f>
        <v>AGOSTO</v>
      </c>
      <c r="C858" t="s">
        <v>2356</v>
      </c>
      <c r="D858" s="20" t="str">
        <f>VLOOKUP(C858,ID!$1:$1048576,4,FALSE)</f>
        <v>103296</v>
      </c>
      <c r="E858" s="20" t="str">
        <f>VLOOKUP(C858,ID!$1:$1048576,3,FALSE)</f>
        <v xml:space="preserve"> RAFAEL IGNACIO</v>
      </c>
      <c r="F858" s="20" t="str">
        <f>VLOOKUP(C858,ID!$1:$1048576,2,FALSE)</f>
        <v>PEREZ NUÑEZ</v>
      </c>
      <c r="G858" s="2" t="str">
        <f>VLOOKUP(D858,CORREOS!$A$2:$B$570,2,FALSE)</f>
        <v>RPNUNEZ@CL.LUCKIA.COM</v>
      </c>
      <c r="H858" s="24" t="str">
        <f>VLOOKUP(A858,'Informe 2025'!$A$5:$C$164,3,FALSE)</f>
        <v>Turismo Local</v>
      </c>
      <c r="I858">
        <f>VLOOKUP(H858,'Informe 2025'!$C$6:$M$166,11,FALSE)</f>
        <v>4</v>
      </c>
    </row>
    <row r="859" spans="1:9" x14ac:dyDescent="0.25">
      <c r="A859" s="2">
        <v>69</v>
      </c>
      <c r="B859" t="str">
        <f>VLOOKUP(A859,'Informe 2025'!$1:$1048576,2,FALSE)</f>
        <v>AGOSTO</v>
      </c>
      <c r="C859" t="s">
        <v>278</v>
      </c>
      <c r="D859" s="20" t="str">
        <f>VLOOKUP(C859,ID!$1:$1048576,4,FALSE)</f>
        <v>103050</v>
      </c>
      <c r="E859" s="20" t="str">
        <f>VLOOKUP(C859,ID!$1:$1048576,3,FALSE)</f>
        <v xml:space="preserve"> JANA</v>
      </c>
      <c r="F859" s="20" t="str">
        <f>VLOOKUP(C859,ID!$1:$1048576,2,FALSE)</f>
        <v>BARRASCH</v>
      </c>
      <c r="G859" s="2" t="str">
        <f>VLOOKUP(D859,CORREOS!$A$2:$B$570,2,FALSE)</f>
        <v>JBARRASCH@ANTAYHOTELES.CL</v>
      </c>
      <c r="H859" s="24" t="str">
        <f>VLOOKUP(A859,'Informe 2025'!$A$5:$C$164,3,FALSE)</f>
        <v>Turismo Local</v>
      </c>
      <c r="I859">
        <f>VLOOKUP(H859,'Informe 2025'!$C$6:$M$166,11,FALSE)</f>
        <v>4</v>
      </c>
    </row>
    <row r="860" spans="1:9" x14ac:dyDescent="0.25">
      <c r="A860" s="2">
        <v>70</v>
      </c>
      <c r="B860" t="str">
        <f>VLOOKUP(A860,'Informe 2025'!$1:$1048576,2,FALSE)</f>
        <v>AGOSTO</v>
      </c>
      <c r="C860" t="s">
        <v>372</v>
      </c>
      <c r="D860" s="20" t="str">
        <f>VLOOKUP(C860,ID!$1:$1048576,4,FALSE)</f>
        <v>103010</v>
      </c>
      <c r="E860" s="20" t="str">
        <f>VLOOKUP(C860,ID!$1:$1048576,3,FALSE)</f>
        <v xml:space="preserve"> FERNANDO</v>
      </c>
      <c r="F860" s="20" t="str">
        <f>VLOOKUP(C860,ID!$1:$1048576,2,FALSE)</f>
        <v>GONZALEZ OROZCO</v>
      </c>
      <c r="G860" s="2" t="str">
        <f>VLOOKUP(D860,CORREOS!$A$2:$B$570,2,FALSE)</f>
        <v>FGOROZCO@ANTAYHOTELES.CL</v>
      </c>
      <c r="H860" s="24" t="str">
        <f>VLOOKUP(A860,'Informe 2025'!$A$5:$C$164,3,FALSE)</f>
        <v>Curso de Ingles</v>
      </c>
      <c r="I860">
        <f>VLOOKUP(H860,'Informe 2025'!$C$6:$M$166,11,FALSE)</f>
        <v>12</v>
      </c>
    </row>
    <row r="861" spans="1:9" x14ac:dyDescent="0.25">
      <c r="A861" s="2">
        <v>70</v>
      </c>
      <c r="B861" t="str">
        <f>VLOOKUP(A861,'Informe 2025'!$1:$1048576,2,FALSE)</f>
        <v>AGOSTO</v>
      </c>
      <c r="C861" t="s">
        <v>356</v>
      </c>
      <c r="D861" s="20" t="str">
        <f>VLOOKUP(C861,ID!$1:$1048576,4,FALSE)</f>
        <v>101587</v>
      </c>
      <c r="E861" s="20" t="str">
        <f>VLOOKUP(C861,ID!$1:$1048576,3,FALSE)</f>
        <v xml:space="preserve"> BERNARDO ANTONIO</v>
      </c>
      <c r="F861" s="20" t="str">
        <f>VLOOKUP(C861,ID!$1:$1048576,2,FALSE)</f>
        <v>GARRIDO ANTINAO</v>
      </c>
      <c r="G861" s="2" t="str">
        <f>VLOOKUP(D861,CORREOS!$A$2:$B$570,2,FALSE)</f>
        <v>BERNARDOANTONIO.GARRIDO@CL.LUCKIA.COM</v>
      </c>
      <c r="H861" s="24" t="str">
        <f>VLOOKUP(A861,'Informe 2025'!$A$5:$C$164,3,FALSE)</f>
        <v>Curso de Ingles</v>
      </c>
      <c r="I861">
        <f>VLOOKUP(H861,'Informe 2025'!$C$6:$M$166,11,FALSE)</f>
        <v>12</v>
      </c>
    </row>
    <row r="862" spans="1:9" x14ac:dyDescent="0.25">
      <c r="A862" s="2">
        <v>70</v>
      </c>
      <c r="B862" t="str">
        <f>VLOOKUP(A862,'Informe 2025'!$1:$1048576,2,FALSE)</f>
        <v>AGOSTO</v>
      </c>
      <c r="C862" t="s">
        <v>407</v>
      </c>
      <c r="D862" s="20" t="str">
        <f>VLOOKUP(C862,ID!$1:$1048576,4,FALSE)</f>
        <v>101826</v>
      </c>
      <c r="E862" s="20" t="str">
        <f>VLOOKUP(C862,ID!$1:$1048576,3,FALSE)</f>
        <v xml:space="preserve"> NARELA ALIZON JUDYT</v>
      </c>
      <c r="F862" s="20" t="str">
        <f>VLOOKUP(C862,ID!$1:$1048576,2,FALSE)</f>
        <v>MARINO ALARO</v>
      </c>
      <c r="G862" s="2" t="str">
        <f>VLOOKUP(D862,CORREOS!$A$2:$B$570,2,FALSE)</f>
        <v>NMARINO@CL.LUCKIA.COM</v>
      </c>
      <c r="H862" s="24" t="str">
        <f>VLOOKUP(A862,'Informe 2025'!$A$5:$C$164,3,FALSE)</f>
        <v>Curso de Ingles</v>
      </c>
      <c r="I862">
        <f>VLOOKUP(H862,'Informe 2025'!$C$6:$M$166,11,FALSE)</f>
        <v>12</v>
      </c>
    </row>
    <row r="863" spans="1:9" x14ac:dyDescent="0.25">
      <c r="A863" s="2">
        <v>70</v>
      </c>
      <c r="B863" t="str">
        <f>VLOOKUP(A863,'Informe 2025'!$1:$1048576,2,FALSE)</f>
        <v>AGOSTO</v>
      </c>
      <c r="C863" t="s">
        <v>497</v>
      </c>
      <c r="D863" s="20" t="str">
        <f>VLOOKUP(C863,ID!$1:$1048576,4,FALSE)</f>
        <v>101379</v>
      </c>
      <c r="E863" s="20" t="str">
        <f>VLOOKUP(C863,ID!$1:$1048576,3,FALSE)</f>
        <v xml:space="preserve"> FABRIZZIO ANIBAL DUVAN</v>
      </c>
      <c r="F863" s="20" t="str">
        <f>VLOOKUP(C863,ID!$1:$1048576,2,FALSE)</f>
        <v>SALDAÑO CHAMORRO</v>
      </c>
      <c r="G863" s="2" t="str">
        <f>VLOOKUP(D863,CORREOS!$A$2:$B$570,2,FALSE)</f>
        <v>FABRIZZIOANIBALDUVAN.SALDANO@CL.LUCKIA.COM</v>
      </c>
      <c r="H863" s="24" t="str">
        <f>VLOOKUP(A863,'Informe 2025'!$A$5:$C$164,3,FALSE)</f>
        <v>Curso de Ingles</v>
      </c>
      <c r="I863">
        <f>VLOOKUP(H863,'Informe 2025'!$C$6:$M$166,11,FALSE)</f>
        <v>12</v>
      </c>
    </row>
    <row r="864" spans="1:9" x14ac:dyDescent="0.25">
      <c r="A864" s="2">
        <v>70</v>
      </c>
      <c r="B864" t="str">
        <f>VLOOKUP(A864,'Informe 2025'!$1:$1048576,2,FALSE)</f>
        <v>AGOSTO</v>
      </c>
      <c r="C864" t="s">
        <v>361</v>
      </c>
      <c r="D864" s="20" t="str">
        <f>VLOOKUP(C864,ID!$1:$1048576,4,FALSE)</f>
        <v>101731</v>
      </c>
      <c r="E864" s="20" t="str">
        <f>VLOOKUP(C864,ID!$1:$1048576,3,FALSE)</f>
        <v xml:space="preserve"> JAVIERA BEATRIZ</v>
      </c>
      <c r="F864" s="20" t="str">
        <f>VLOOKUP(C864,ID!$1:$1048576,2,FALSE)</f>
        <v>GODOY URRA</v>
      </c>
      <c r="G864" s="2" t="str">
        <f>VLOOKUP(D864,CORREOS!$A$2:$B$570,2,FALSE)</f>
        <v>JGODOY@ANTAYHOTELES.CL</v>
      </c>
      <c r="H864" s="24" t="str">
        <f>VLOOKUP(A864,'Informe 2025'!$A$5:$C$164,3,FALSE)</f>
        <v>Curso de Ingles</v>
      </c>
      <c r="I864">
        <f>VLOOKUP(H864,'Informe 2025'!$C$6:$M$166,11,FALSE)</f>
        <v>12</v>
      </c>
    </row>
    <row r="865" spans="1:9" x14ac:dyDescent="0.25">
      <c r="A865" s="2">
        <v>70</v>
      </c>
      <c r="B865" t="str">
        <f>VLOOKUP(A865,'Informe 2025'!$1:$1048576,2,FALSE)</f>
        <v>AGOSTO</v>
      </c>
      <c r="C865" t="s">
        <v>534</v>
      </c>
      <c r="D865" s="20" t="str">
        <f>VLOOKUP(C865,ID!$1:$1048576,4,FALSE)</f>
        <v>102292</v>
      </c>
      <c r="E865" s="20" t="str">
        <f>VLOOKUP(C865,ID!$1:$1048576,3,FALSE)</f>
        <v xml:space="preserve"> ESKARLETT YUBINZA</v>
      </c>
      <c r="F865" s="20" t="str">
        <f>VLOOKUP(C865,ID!$1:$1048576,2,FALSE)</f>
        <v>ZULETA COLQUE</v>
      </c>
      <c r="G865" s="2" t="str">
        <f>VLOOKUP(D865,CORREOS!$A$2:$B$570,2,FALSE)</f>
        <v>EZCOLQUE@CL.LUCKIA.COM</v>
      </c>
      <c r="H865" s="24" t="str">
        <f>VLOOKUP(A865,'Informe 2025'!$A$5:$C$164,3,FALSE)</f>
        <v>Curso de Ingles</v>
      </c>
      <c r="I865">
        <f>VLOOKUP(H865,'Informe 2025'!$C$6:$M$166,11,FALSE)</f>
        <v>12</v>
      </c>
    </row>
    <row r="866" spans="1:9" x14ac:dyDescent="0.25">
      <c r="A866" s="2">
        <v>71</v>
      </c>
      <c r="B866" t="str">
        <f>VLOOKUP(A866,'Informe 2025'!$1:$1048576,2,FALSE)</f>
        <v>SEPTIEMBRE</v>
      </c>
      <c r="C866" t="s">
        <v>486</v>
      </c>
      <c r="D866" s="20" t="str">
        <f>VLOOKUP(C866,ID!$1:$1048576,4,FALSE)</f>
        <v>102741</v>
      </c>
      <c r="E866" s="20" t="str">
        <f>VLOOKUP(C866,ID!$1:$1048576,3,FALSE)</f>
        <v xml:space="preserve"> ELIANA</v>
      </c>
      <c r="F866" s="20" t="str">
        <f>VLOOKUP(C866,ID!$1:$1048576,2,FALSE)</f>
        <v>RODAS SALCES</v>
      </c>
      <c r="G866" s="2" t="str">
        <f>VLOOKUP(D866,CORREOS!$A$2:$B$570,2,FALSE)</f>
        <v>ERODAS@ANTAYHOTELES.CL</v>
      </c>
      <c r="H866" s="24" t="str">
        <f>VLOOKUP(A866,'Informe 2025'!$A$5:$C$164,3,FALSE)</f>
        <v>Pasteleria</v>
      </c>
      <c r="I866">
        <f>VLOOKUP(H866,'Informe 2025'!$C$6:$M$166,11,FALSE)</f>
        <v>16</v>
      </c>
    </row>
    <row r="867" spans="1:9" x14ac:dyDescent="0.25">
      <c r="A867" s="2">
        <v>72</v>
      </c>
      <c r="B867" t="str">
        <f>VLOOKUP(A867,'Informe 2025'!$1:$1048576,2,FALSE)</f>
        <v>SEPTIEMBRE</v>
      </c>
      <c r="C867" t="s">
        <v>447</v>
      </c>
      <c r="D867" s="20" t="str">
        <f>VLOOKUP(C867,ID!$1:$1048576,4,FALSE)</f>
        <v>100450</v>
      </c>
      <c r="E867" s="20" t="str">
        <f>VLOOKUP(C867,ID!$1:$1048576,3,FALSE)</f>
        <v xml:space="preserve"> OSCAR ANDRES</v>
      </c>
      <c r="F867" s="20" t="str">
        <f>VLOOKUP(C867,ID!$1:$1048576,2,FALSE)</f>
        <v>OSSANDON ALCOTA</v>
      </c>
      <c r="G867" s="2" t="str">
        <f>VLOOKUP(D867,CORREOS!$A$2:$B$570,2,FALSE)</f>
        <v>OSCAR.OSSANDON@ANTAYHOTELES.CL</v>
      </c>
      <c r="H867" s="24" t="str">
        <f>VLOOKUP(A867,'Informe 2025'!$A$5:$C$164,3,FALSE)</f>
        <v>Diplomado Marketing Digital</v>
      </c>
      <c r="I867">
        <f>VLOOKUP(H867,'Informe 2025'!$C$6:$M$166,11,FALSE)</f>
        <v>100</v>
      </c>
    </row>
    <row r="868" spans="1:9" x14ac:dyDescent="0.25">
      <c r="A868" s="2">
        <v>73</v>
      </c>
      <c r="B868" t="str">
        <f>VLOOKUP(A868,'Informe 2025'!$1:$1048576,2,FALSE)</f>
        <v>SEPTIEMBRE</v>
      </c>
      <c r="C868" t="s">
        <v>339</v>
      </c>
      <c r="D868" s="20" t="str">
        <f>VLOOKUP(C868,ID!$1:$1048576,4,FALSE)</f>
        <v>101938</v>
      </c>
      <c r="E868" s="20" t="str">
        <f>VLOOKUP(C868,ID!$1:$1048576,3,FALSE)</f>
        <v xml:space="preserve"> LORETO ANDREA</v>
      </c>
      <c r="F868" s="20" t="str">
        <f>VLOOKUP(C868,ID!$1:$1048576,2,FALSE)</f>
        <v>FERNANDEZ GONZALEZ</v>
      </c>
      <c r="G868" s="2" t="str">
        <f>VLOOKUP(D868,CORREOS!$A$2:$B$570,2,FALSE)</f>
        <v>LFGONZALEZ@CL.LUCKIA.COM</v>
      </c>
      <c r="H868" s="24" t="str">
        <f>VLOOKUP(A868,'Informe 2025'!$A$5:$C$164,3,FALSE)</f>
        <v>Cultura Luckia</v>
      </c>
      <c r="I868">
        <f>VLOOKUP(H868,'Informe 2025'!$C$6:$M$166,11,FALSE)</f>
        <v>4</v>
      </c>
    </row>
    <row r="869" spans="1:9" x14ac:dyDescent="0.25">
      <c r="A869" s="2">
        <v>73</v>
      </c>
      <c r="B869" t="str">
        <f>VLOOKUP(A869,'Informe 2025'!$1:$1048576,2,FALSE)</f>
        <v>SEPTIEMBRE</v>
      </c>
      <c r="C869" t="s">
        <v>532</v>
      </c>
      <c r="D869" s="20" t="str">
        <f>VLOOKUP(C869,ID!$1:$1048576,4,FALSE)</f>
        <v>101672</v>
      </c>
      <c r="E869" s="20" t="str">
        <f>VLOOKUP(C869,ID!$1:$1048576,3,FALSE)</f>
        <v xml:space="preserve"> CAMILA NICOLE</v>
      </c>
      <c r="F869" s="20" t="str">
        <f>VLOOKUP(C869,ID!$1:$1048576,2,FALSE)</f>
        <v>YAVAR BRICEÑO</v>
      </c>
      <c r="G869" s="2" t="str">
        <f>VLOOKUP(D869,CORREOS!$A$2:$B$570,2,FALSE)</f>
        <v>CAMILANICOLE.YAVAR@CL.LUCKIA.COM</v>
      </c>
      <c r="H869" s="24" t="str">
        <f>VLOOKUP(A869,'Informe 2025'!$A$5:$C$164,3,FALSE)</f>
        <v>Cultura Luckia</v>
      </c>
      <c r="I869">
        <f>VLOOKUP(H869,'Informe 2025'!$C$6:$M$166,11,FALSE)</f>
        <v>4</v>
      </c>
    </row>
    <row r="870" spans="1:9" x14ac:dyDescent="0.25">
      <c r="A870" s="2">
        <v>73</v>
      </c>
      <c r="B870" t="str">
        <f>VLOOKUP(A870,'Informe 2025'!$1:$1048576,2,FALSE)</f>
        <v>SEPTIEMBRE</v>
      </c>
      <c r="C870" t="s">
        <v>320</v>
      </c>
      <c r="D870" s="20" t="str">
        <f>VLOOKUP(C870,ID!$1:$1048576,4,FALSE)</f>
        <v>102424</v>
      </c>
      <c r="E870" s="20" t="str">
        <f>VLOOKUP(C870,ID!$1:$1048576,3,FALSE)</f>
        <v xml:space="preserve"> NOEMI MONSERRAT</v>
      </c>
      <c r="F870" s="20" t="str">
        <f>VLOOKUP(C870,ID!$1:$1048576,2,FALSE)</f>
        <v>COPAJA MORALES</v>
      </c>
      <c r="G870" s="2" t="str">
        <f>VLOOKUP(D870,CORREOS!$A$2:$B$570,2,FALSE)</f>
        <v>NCOPAJA@ANTAYHOTELES.CL</v>
      </c>
      <c r="H870" s="24" t="str">
        <f>VLOOKUP(A870,'Informe 2025'!$A$5:$C$164,3,FALSE)</f>
        <v>Cultura Luckia</v>
      </c>
      <c r="I870">
        <f>VLOOKUP(H870,'Informe 2025'!$C$6:$M$166,11,FALSE)</f>
        <v>4</v>
      </c>
    </row>
    <row r="871" spans="1:9" x14ac:dyDescent="0.25">
      <c r="A871" s="2">
        <v>73</v>
      </c>
      <c r="B871" t="str">
        <f>VLOOKUP(A871,'Informe 2025'!$1:$1048576,2,FALSE)</f>
        <v>SEPTIEMBRE</v>
      </c>
      <c r="C871" t="s">
        <v>313</v>
      </c>
      <c r="D871" s="20" t="str">
        <f>VLOOKUP(C871,ID!$1:$1048576,4,FALSE)</f>
        <v>102260</v>
      </c>
      <c r="E871" s="20" t="str">
        <f>VLOOKUP(C871,ID!$1:$1048576,3,FALSE)</f>
        <v xml:space="preserve"> DANILO ALEXIS</v>
      </c>
      <c r="F871" s="20" t="str">
        <f>VLOOKUP(C871,ID!$1:$1048576,2,FALSE)</f>
        <v>CLAVERIE ROJAS</v>
      </c>
      <c r="G871" s="2" t="str">
        <f>VLOOKUP(D871,CORREOS!$A$2:$B$570,2,FALSE)</f>
        <v>DCLAVERIE@ANTAYHOTELES.CL</v>
      </c>
      <c r="H871" s="24" t="str">
        <f>VLOOKUP(A871,'Informe 2025'!$A$5:$C$164,3,FALSE)</f>
        <v>Cultura Luckia</v>
      </c>
      <c r="I871">
        <f>VLOOKUP(H871,'Informe 2025'!$C$6:$M$166,11,FALSE)</f>
        <v>4</v>
      </c>
    </row>
    <row r="872" spans="1:9" x14ac:dyDescent="0.25">
      <c r="A872" s="2">
        <v>73</v>
      </c>
      <c r="B872" t="str">
        <f>VLOOKUP(A872,'Informe 2025'!$1:$1048576,2,FALSE)</f>
        <v>SEPTIEMBRE</v>
      </c>
      <c r="C872" t="s">
        <v>481</v>
      </c>
      <c r="D872" s="20" t="str">
        <f>VLOOKUP(C872,ID!$1:$1048576,4,FALSE)</f>
        <v>101689</v>
      </c>
      <c r="E872" s="20" t="str">
        <f>VLOOKUP(C872,ID!$1:$1048576,3,FALSE)</f>
        <v xml:space="preserve"> LUIS ESTEBAN</v>
      </c>
      <c r="F872" s="20" t="str">
        <f>VLOOKUP(C872,ID!$1:$1048576,2,FALSE)</f>
        <v>RIVERA ALTAMIRANO</v>
      </c>
      <c r="G872" s="2" t="str">
        <f>VLOOKUP(D872,CORREOS!$A$2:$B$570,2,FALSE)</f>
        <v>LUISESTEBAN.RIVERA@CL.LUCKIA.COM</v>
      </c>
      <c r="H872" s="24" t="str">
        <f>VLOOKUP(A872,'Informe 2025'!$A$5:$C$164,3,FALSE)</f>
        <v>Cultura Luckia</v>
      </c>
      <c r="I872">
        <f>VLOOKUP(H872,'Informe 2025'!$C$6:$M$166,11,FALSE)</f>
        <v>4</v>
      </c>
    </row>
    <row r="873" spans="1:9" x14ac:dyDescent="0.25">
      <c r="A873" s="2">
        <v>73</v>
      </c>
      <c r="B873" t="str">
        <f>VLOOKUP(A873,'Informe 2025'!$1:$1048576,2,FALSE)</f>
        <v>SEPTIEMBRE</v>
      </c>
      <c r="C873" t="s">
        <v>531</v>
      </c>
      <c r="D873" s="20" t="str">
        <f>VLOOKUP(C873,ID!$1:$1048576,4,FALSE)</f>
        <v>102866</v>
      </c>
      <c r="E873" s="20" t="str">
        <f>VLOOKUP(C873,ID!$1:$1048576,3,FALSE)</f>
        <v xml:space="preserve"> CRISTOPHER</v>
      </c>
      <c r="F873" s="20" t="str">
        <f>VLOOKUP(C873,ID!$1:$1048576,2,FALSE)</f>
        <v>VILLARROEL LUNA</v>
      </c>
      <c r="G873" s="2" t="str">
        <f>VLOOKUP(D873,CORREOS!$A$2:$B$570,2,FALSE)</f>
        <v>CVILLARROEL@ANTAYHOTELES.CL</v>
      </c>
      <c r="H873" s="24" t="str">
        <f>VLOOKUP(A873,'Informe 2025'!$A$5:$C$164,3,FALSE)</f>
        <v>Cultura Luckia</v>
      </c>
      <c r="I873">
        <f>VLOOKUP(H873,'Informe 2025'!$C$6:$M$166,11,FALSE)</f>
        <v>4</v>
      </c>
    </row>
    <row r="874" spans="1:9" x14ac:dyDescent="0.25">
      <c r="A874" s="2">
        <v>73</v>
      </c>
      <c r="B874" t="str">
        <f>VLOOKUP(A874,'Informe 2025'!$1:$1048576,2,FALSE)</f>
        <v>SEPTIEMBRE</v>
      </c>
      <c r="C874" t="s">
        <v>318</v>
      </c>
      <c r="D874" s="20" t="str">
        <f>VLOOKUP(C874,ID!$1:$1048576,4,FALSE)</f>
        <v>102675</v>
      </c>
      <c r="E874" s="20" t="str">
        <f>VLOOKUP(C874,ID!$1:$1048576,3,FALSE)</f>
        <v xml:space="preserve"> CYNTHIA</v>
      </c>
      <c r="F874" s="20" t="str">
        <f>VLOOKUP(C874,ID!$1:$1048576,2,FALSE)</f>
        <v>CONTRERAS SOLA</v>
      </c>
      <c r="G874" s="2" t="str">
        <f>VLOOKUP(D874,CORREOS!$A$2:$B$570,2,FALSE)</f>
        <v>CCONTRERAS@ANTAYHOTELES.CL</v>
      </c>
      <c r="H874" s="24" t="str">
        <f>VLOOKUP(A874,'Informe 2025'!$A$5:$C$164,3,FALSE)</f>
        <v>Cultura Luckia</v>
      </c>
      <c r="I874">
        <f>VLOOKUP(H874,'Informe 2025'!$C$6:$M$166,11,FALSE)</f>
        <v>4</v>
      </c>
    </row>
    <row r="875" spans="1:9" x14ac:dyDescent="0.25">
      <c r="A875" s="2">
        <v>73</v>
      </c>
      <c r="B875" t="str">
        <f>VLOOKUP(A875,'Informe 2025'!$1:$1048576,2,FALSE)</f>
        <v>SEPTIEMBRE</v>
      </c>
      <c r="C875" t="s">
        <v>283</v>
      </c>
      <c r="D875" s="20" t="str">
        <f>VLOOKUP(C875,ID!$1:$1048576,4,FALSE)</f>
        <v>102996</v>
      </c>
      <c r="E875" s="20" t="str">
        <f>VLOOKUP(C875,ID!$1:$1048576,3,FALSE)</f>
        <v xml:space="preserve"> CATALINA VICTORIA</v>
      </c>
      <c r="F875" s="20" t="str">
        <f>VLOOKUP(C875,ID!$1:$1048576,2,FALSE)</f>
        <v>CABEZAS MENA</v>
      </c>
      <c r="G875" s="2" t="str">
        <f>VLOOKUP(D875,CORREOS!$A$2:$B$570,2,FALSE)</f>
        <v>CCABEZAS@ANTAYHOTELES.CL</v>
      </c>
      <c r="H875" s="24" t="str">
        <f>VLOOKUP(A875,'Informe 2025'!$A$5:$C$164,3,FALSE)</f>
        <v>Cultura Luckia</v>
      </c>
      <c r="I875">
        <f>VLOOKUP(H875,'Informe 2025'!$C$6:$M$166,11,FALSE)</f>
        <v>4</v>
      </c>
    </row>
    <row r="876" spans="1:9" x14ac:dyDescent="0.25">
      <c r="A876" s="2">
        <v>73</v>
      </c>
      <c r="B876" t="str">
        <f>VLOOKUP(A876,'Informe 2025'!$1:$1048576,2,FALSE)</f>
        <v>SEPTIEMBRE</v>
      </c>
      <c r="C876" t="s">
        <v>305</v>
      </c>
      <c r="D876" s="20" t="str">
        <f>VLOOKUP(C876,ID!$1:$1048576,4,FALSE)</f>
        <v>102746</v>
      </c>
      <c r="E876" s="20" t="str">
        <f>VLOOKUP(C876,ID!$1:$1048576,3,FALSE)</f>
        <v xml:space="preserve"> GONZALO PATRICIO</v>
      </c>
      <c r="F876" s="20" t="str">
        <f>VLOOKUP(C876,ID!$1:$1048576,2,FALSE)</f>
        <v>CASTRO OROSTEGUI</v>
      </c>
      <c r="G876" s="2" t="str">
        <f>VLOOKUP(D876,CORREOS!$A$2:$B$570,2,FALSE)</f>
        <v>GCASTRO@ANTAYHOTELES.CL</v>
      </c>
      <c r="H876" s="24" t="str">
        <f>VLOOKUP(A876,'Informe 2025'!$A$5:$C$164,3,FALSE)</f>
        <v>Cultura Luckia</v>
      </c>
      <c r="I876">
        <f>VLOOKUP(H876,'Informe 2025'!$C$6:$M$166,11,FALSE)</f>
        <v>4</v>
      </c>
    </row>
    <row r="877" spans="1:9" x14ac:dyDescent="0.25">
      <c r="A877" s="2">
        <v>73</v>
      </c>
      <c r="B877" t="str">
        <f>VLOOKUP(A877,'Informe 2025'!$1:$1048576,2,FALSE)</f>
        <v>SEPTIEMBRE</v>
      </c>
      <c r="C877" t="s">
        <v>505</v>
      </c>
      <c r="D877" s="20" t="str">
        <f>VLOOKUP(C877,ID!$1:$1048576,4,FALSE)</f>
        <v>101331</v>
      </c>
      <c r="E877" s="20" t="str">
        <f>VLOOKUP(C877,ID!$1:$1048576,3,FALSE)</f>
        <v xml:space="preserve"> CHRISTIAN OLIVER</v>
      </c>
      <c r="F877" s="20" t="str">
        <f>VLOOKUP(C877,ID!$1:$1048576,2,FALSE)</f>
        <v>SILVA CAMPOS</v>
      </c>
      <c r="G877" s="2" t="str">
        <f>VLOOKUP(D877,CORREOS!$A$2:$B$570,2,FALSE)</f>
        <v>CHRISTIANOLIVER.SILVA@CL.LUCKIA.COM</v>
      </c>
      <c r="H877" s="24" t="str">
        <f>VLOOKUP(A877,'Informe 2025'!$A$5:$C$164,3,FALSE)</f>
        <v>Cultura Luckia</v>
      </c>
      <c r="I877">
        <f>VLOOKUP(H877,'Informe 2025'!$C$6:$M$166,11,FALSE)</f>
        <v>4</v>
      </c>
    </row>
    <row r="878" spans="1:9" x14ac:dyDescent="0.25">
      <c r="A878" s="2">
        <v>73</v>
      </c>
      <c r="B878" t="str">
        <f>VLOOKUP(A878,'Informe 2025'!$1:$1048576,2,FALSE)</f>
        <v>SEPTIEMBRE</v>
      </c>
      <c r="C878" t="s">
        <v>489</v>
      </c>
      <c r="D878" s="20" t="str">
        <f>VLOOKUP(C878,ID!$1:$1048576,4,FALSE)</f>
        <v>102827</v>
      </c>
      <c r="E878" s="20" t="str">
        <f>VLOOKUP(C878,ID!$1:$1048576,3,FALSE)</f>
        <v xml:space="preserve"> NICOLAS IGNACIO</v>
      </c>
      <c r="F878" s="20" t="str">
        <f>VLOOKUP(C878,ID!$1:$1048576,2,FALSE)</f>
        <v>ROJAS HENRIQUEZ</v>
      </c>
      <c r="G878" s="2" t="str">
        <f>VLOOKUP(D878,CORREOS!$A$2:$B$570,2,FALSE)</f>
        <v>NRHENRIQUEZ@CL.LUCKIA.COM</v>
      </c>
      <c r="H878" s="24" t="str">
        <f>VLOOKUP(A878,'Informe 2025'!$A$5:$C$164,3,FALSE)</f>
        <v>Cultura Luckia</v>
      </c>
      <c r="I878">
        <f>VLOOKUP(H878,'Informe 2025'!$C$6:$M$166,11,FALSE)</f>
        <v>4</v>
      </c>
    </row>
    <row r="879" spans="1:9" x14ac:dyDescent="0.25">
      <c r="A879" s="2">
        <v>73</v>
      </c>
      <c r="B879" t="str">
        <f>VLOOKUP(A879,'Informe 2025'!$1:$1048576,2,FALSE)</f>
        <v>SEPTIEMBRE</v>
      </c>
      <c r="C879" t="s">
        <v>395</v>
      </c>
      <c r="D879" s="20" t="str">
        <f>VLOOKUP(C879,ID!$1:$1048576,4,FALSE)</f>
        <v>102063</v>
      </c>
      <c r="E879" s="20" t="str">
        <f>VLOOKUP(C879,ID!$1:$1048576,3,FALSE)</f>
        <v xml:space="preserve"> MICHELLE ANNETTE</v>
      </c>
      <c r="F879" s="20" t="str">
        <f>VLOOKUP(C879,ID!$1:$1048576,2,FALSE)</f>
        <v>LEAL LEYTON</v>
      </c>
      <c r="G879" s="2" t="str">
        <f>VLOOKUP(D879,CORREOS!$A$2:$B$570,2,FALSE)</f>
        <v>MLEAL@CL.LUCKIA.COM</v>
      </c>
      <c r="H879" s="24" t="str">
        <f>VLOOKUP(A879,'Informe 2025'!$A$5:$C$164,3,FALSE)</f>
        <v>Cultura Luckia</v>
      </c>
      <c r="I879">
        <f>VLOOKUP(H879,'Informe 2025'!$C$6:$M$166,11,FALSE)</f>
        <v>4</v>
      </c>
    </row>
    <row r="880" spans="1:9" x14ac:dyDescent="0.25">
      <c r="A880" s="2">
        <v>73</v>
      </c>
      <c r="B880" t="str">
        <f>VLOOKUP(A880,'Informe 2025'!$1:$1048576,2,FALSE)</f>
        <v>SEPTIEMBRE</v>
      </c>
      <c r="C880" t="s">
        <v>487</v>
      </c>
      <c r="D880" s="20" t="str">
        <f>VLOOKUP(C880,ID!$1:$1048576,4,FALSE)</f>
        <v>101978</v>
      </c>
      <c r="E880" s="20" t="str">
        <f>VLOOKUP(C880,ID!$1:$1048576,3,FALSE)</f>
        <v xml:space="preserve"> ARANTZA DOMINIQUE FIONA</v>
      </c>
      <c r="F880" s="20" t="str">
        <f>VLOOKUP(C880,ID!$1:$1048576,2,FALSE)</f>
        <v>ROJAS CALLEJAS</v>
      </c>
      <c r="G880" s="2" t="str">
        <f>VLOOKUP(D880,CORREOS!$A$2:$B$570,2,FALSE)</f>
        <v>ARCALLEJAS@ANTAYHOTELES.CL</v>
      </c>
      <c r="H880" s="24" t="str">
        <f>VLOOKUP(A880,'Informe 2025'!$A$5:$C$164,3,FALSE)</f>
        <v>Cultura Luckia</v>
      </c>
      <c r="I880">
        <f>VLOOKUP(H880,'Informe 2025'!$C$6:$M$166,11,FALSE)</f>
        <v>4</v>
      </c>
    </row>
    <row r="881" spans="1:9" x14ac:dyDescent="0.25">
      <c r="A881" s="2">
        <v>73</v>
      </c>
      <c r="B881" t="str">
        <f>VLOOKUP(A881,'Informe 2025'!$1:$1048576,2,FALSE)</f>
        <v>SEPTIEMBRE</v>
      </c>
      <c r="C881" t="s">
        <v>390</v>
      </c>
      <c r="D881" s="20" t="str">
        <f>VLOOKUP(C881,ID!$1:$1048576,4,FALSE)</f>
        <v>102642</v>
      </c>
      <c r="E881" s="20" t="str">
        <f>VLOOKUP(C881,ID!$1:$1048576,3,FALSE)</f>
        <v xml:space="preserve"> JOSE LUIS</v>
      </c>
      <c r="F881" s="20" t="str">
        <f>VLOOKUP(C881,ID!$1:$1048576,2,FALSE)</f>
        <v>JIMENEZ VILLALOBOS</v>
      </c>
      <c r="G881" s="2" t="str">
        <f>VLOOKUP(D881,CORREOS!$A$2:$B$570,2,FALSE)</f>
        <v>JJVILLALOBOS@ANTAYHOTELES.CL</v>
      </c>
      <c r="H881" s="24" t="str">
        <f>VLOOKUP(A881,'Informe 2025'!$A$5:$C$164,3,FALSE)</f>
        <v>Cultura Luckia</v>
      </c>
      <c r="I881">
        <f>VLOOKUP(H881,'Informe 2025'!$C$6:$M$166,11,FALSE)</f>
        <v>4</v>
      </c>
    </row>
    <row r="882" spans="1:9" x14ac:dyDescent="0.25">
      <c r="A882" s="2">
        <v>73</v>
      </c>
      <c r="B882" t="str">
        <f>VLOOKUP(A882,'Informe 2025'!$1:$1048576,2,FALSE)</f>
        <v>SEPTIEMBRE</v>
      </c>
      <c r="C882" t="s">
        <v>303</v>
      </c>
      <c r="D882" s="20" t="str">
        <f>VLOOKUP(C882,ID!$1:$1048576,4,FALSE)</f>
        <v>102829</v>
      </c>
      <c r="E882" s="20" t="str">
        <f>VLOOKUP(C882,ID!$1:$1048576,3,FALSE)</f>
        <v xml:space="preserve"> WILSON DENNIS</v>
      </c>
      <c r="F882" s="20" t="str">
        <f>VLOOKUP(C882,ID!$1:$1048576,2,FALSE)</f>
        <v>CASTILLO PEREZ</v>
      </c>
      <c r="G882" s="2" t="str">
        <f>VLOOKUP(D882,CORREOS!$A$2:$B$570,2,FALSE)</f>
        <v>WCASTILLO@CL.LUCKIA.COM</v>
      </c>
      <c r="H882" s="24" t="str">
        <f>VLOOKUP(A882,'Informe 2025'!$A$5:$C$164,3,FALSE)</f>
        <v>Cultura Luckia</v>
      </c>
      <c r="I882">
        <f>VLOOKUP(H882,'Informe 2025'!$C$6:$M$166,11,FALSE)</f>
        <v>4</v>
      </c>
    </row>
    <row r="883" spans="1:9" x14ac:dyDescent="0.25">
      <c r="A883" s="2">
        <v>73</v>
      </c>
      <c r="B883" t="str">
        <f>VLOOKUP(A883,'Informe 2025'!$1:$1048576,2,FALSE)</f>
        <v>SEPTIEMBRE</v>
      </c>
      <c r="C883" t="s">
        <v>269</v>
      </c>
      <c r="D883" s="20" t="str">
        <f>VLOOKUP(C883,ID!$1:$1048576,4,FALSE)</f>
        <v>101662</v>
      </c>
      <c r="E883" s="20" t="str">
        <f>VLOOKUP(C883,ID!$1:$1048576,3,FALSE)</f>
        <v xml:space="preserve"> CAROLINA ANDREA</v>
      </c>
      <c r="F883" s="20" t="str">
        <f>VLOOKUP(C883,ID!$1:$1048576,2,FALSE)</f>
        <v>ARIAS AEDO</v>
      </c>
      <c r="G883" s="2" t="str">
        <f>VLOOKUP(D883,CORREOS!$A$2:$B$570,2,FALSE)</f>
        <v>CAROLINAANDREA.ARIAS@ANTAYHOTELES.CL</v>
      </c>
      <c r="H883" s="24" t="str">
        <f>VLOOKUP(A883,'Informe 2025'!$A$5:$C$164,3,FALSE)</f>
        <v>Cultura Luckia</v>
      </c>
      <c r="I883">
        <f>VLOOKUP(H883,'Informe 2025'!$C$6:$M$166,11,FALSE)</f>
        <v>4</v>
      </c>
    </row>
    <row r="884" spans="1:9" x14ac:dyDescent="0.25">
      <c r="A884" s="2">
        <v>73</v>
      </c>
      <c r="B884" t="str">
        <f>VLOOKUP(A884,'Informe 2025'!$1:$1048576,2,FALSE)</f>
        <v>SEPTIEMBRE</v>
      </c>
      <c r="C884" t="s">
        <v>378</v>
      </c>
      <c r="D884" s="20" t="str">
        <f>VLOOKUP(C884,ID!$1:$1048576,4,FALSE)</f>
        <v>101407</v>
      </c>
      <c r="E884" s="20" t="str">
        <f>VLOOKUP(C884,ID!$1:$1048576,3,FALSE)</f>
        <v xml:space="preserve"> JOSEPH ALFREDO</v>
      </c>
      <c r="F884" s="20" t="str">
        <f>VLOOKUP(C884,ID!$1:$1048576,2,FALSE)</f>
        <v>HENRIQUEZ ARAYA</v>
      </c>
      <c r="G884" s="2" t="str">
        <f>VLOOKUP(D884,CORREOS!$A$2:$B$570,2,FALSE)</f>
        <v>JOSEPHALFREDO.HENRIQUEZ@CL.LUCKIA.COM</v>
      </c>
      <c r="H884" s="24" t="str">
        <f>VLOOKUP(A884,'Informe 2025'!$A$5:$C$164,3,FALSE)</f>
        <v>Cultura Luckia</v>
      </c>
      <c r="I884">
        <f>VLOOKUP(H884,'Informe 2025'!$C$6:$M$166,11,FALSE)</f>
        <v>4</v>
      </c>
    </row>
    <row r="885" spans="1:9" x14ac:dyDescent="0.25">
      <c r="A885" s="2">
        <v>73</v>
      </c>
      <c r="B885" t="str">
        <f>VLOOKUP(A885,'Informe 2025'!$1:$1048576,2,FALSE)</f>
        <v>SEPTIEMBRE</v>
      </c>
      <c r="C885" t="s">
        <v>489</v>
      </c>
      <c r="D885" s="20" t="str">
        <f>VLOOKUP(C885,ID!$1:$1048576,4,FALSE)</f>
        <v>102827</v>
      </c>
      <c r="E885" s="20" t="str">
        <f>VLOOKUP(C885,ID!$1:$1048576,3,FALSE)</f>
        <v xml:space="preserve"> NICOLAS IGNACIO</v>
      </c>
      <c r="F885" s="20" t="str">
        <f>VLOOKUP(C885,ID!$1:$1048576,2,FALSE)</f>
        <v>ROJAS HENRIQUEZ</v>
      </c>
      <c r="G885" s="2" t="str">
        <f>VLOOKUP(D885,CORREOS!$A$2:$B$570,2,FALSE)</f>
        <v>NRHENRIQUEZ@CL.LUCKIA.COM</v>
      </c>
      <c r="H885" s="24" t="str">
        <f>VLOOKUP(A885,'Informe 2025'!$A$5:$C$164,3,FALSE)</f>
        <v>Cultura Luckia</v>
      </c>
      <c r="I885">
        <f>VLOOKUP(H885,'Informe 2025'!$C$6:$M$166,11,FALSE)</f>
        <v>4</v>
      </c>
    </row>
    <row r="886" spans="1:9" x14ac:dyDescent="0.25">
      <c r="A886" s="2">
        <v>73</v>
      </c>
      <c r="B886" t="str">
        <f>VLOOKUP(A886,'Informe 2025'!$1:$1048576,2,FALSE)</f>
        <v>SEPTIEMBRE</v>
      </c>
      <c r="C886" t="s">
        <v>515</v>
      </c>
      <c r="D886" s="20" t="str">
        <f>VLOOKUP(C886,ID!$1:$1048576,4,FALSE)</f>
        <v>102019</v>
      </c>
      <c r="E886" s="20" t="str">
        <f>VLOOKUP(C886,ID!$1:$1048576,3,FALSE)</f>
        <v xml:space="preserve"> BARBARA STEPHANIA</v>
      </c>
      <c r="F886" s="20" t="str">
        <f>VLOOKUP(C886,ID!$1:$1048576,2,FALSE)</f>
        <v>UGARTE LIRA</v>
      </c>
      <c r="G886" s="2" t="str">
        <f>VLOOKUP(D886,CORREOS!$A$2:$B$570,2,FALSE)</f>
        <v>BUGARTE@CL.LUCKIA.COM</v>
      </c>
      <c r="H886" s="24" t="str">
        <f>VLOOKUP(A886,'Informe 2025'!$A$5:$C$164,3,FALSE)</f>
        <v>Cultura Luckia</v>
      </c>
      <c r="I886">
        <f>VLOOKUP(H886,'Informe 2025'!$C$6:$M$166,11,FALSE)</f>
        <v>4</v>
      </c>
    </row>
    <row r="887" spans="1:9" x14ac:dyDescent="0.25">
      <c r="A887" s="2">
        <v>73</v>
      </c>
      <c r="B887" t="str">
        <f>VLOOKUP(A887,'Informe 2025'!$1:$1048576,2,FALSE)</f>
        <v>SEPTIEMBRE</v>
      </c>
      <c r="C887" t="s">
        <v>270</v>
      </c>
      <c r="D887" s="20" t="str">
        <f>VLOOKUP(C887,ID!$1:$1048576,4,FALSE)</f>
        <v>101357</v>
      </c>
      <c r="E887" s="20" t="str">
        <f>VLOOKUP(C887,ID!$1:$1048576,3,FALSE)</f>
        <v xml:space="preserve"> JOSE IGNACIO</v>
      </c>
      <c r="F887" s="20" t="str">
        <f>VLOOKUP(C887,ID!$1:$1048576,2,FALSE)</f>
        <v>ARIAS BARRAZA</v>
      </c>
      <c r="G887" s="2" t="str">
        <f>VLOOKUP(D887,CORREOS!$A$2:$B$570,2,FALSE)</f>
        <v>JOSEIGNACIO.ARIAS@CL.LUCKIA.COM</v>
      </c>
      <c r="H887" s="24" t="str">
        <f>VLOOKUP(A887,'Informe 2025'!$A$5:$C$164,3,FALSE)</f>
        <v>Cultura Luckia</v>
      </c>
      <c r="I887">
        <f>VLOOKUP(H887,'Informe 2025'!$C$6:$M$166,11,FALSE)</f>
        <v>4</v>
      </c>
    </row>
    <row r="888" spans="1:9" x14ac:dyDescent="0.25">
      <c r="A888" s="2">
        <v>73</v>
      </c>
      <c r="B888" t="str">
        <f>VLOOKUP(A888,'Informe 2025'!$1:$1048576,2,FALSE)</f>
        <v>SEPTIEMBRE</v>
      </c>
      <c r="C888" t="s">
        <v>498</v>
      </c>
      <c r="D888" s="20" t="str">
        <f>VLOOKUP(C888,ID!$1:$1048576,4,FALSE)</f>
        <v>101825</v>
      </c>
      <c r="E888" s="20" t="str">
        <f>VLOOKUP(C888,ID!$1:$1048576,3,FALSE)</f>
        <v xml:space="preserve"> GISSELA ANDREA</v>
      </c>
      <c r="F888" s="20" t="str">
        <f>VLOOKUP(C888,ID!$1:$1048576,2,FALSE)</f>
        <v>SANCHEZ QUISPE</v>
      </c>
      <c r="G888" s="2" t="str">
        <f>VLOOKUP(D888,CORREOS!$A$2:$B$570,2,FALSE)</f>
        <v>GSQUISPE@CL.LUCKIA.COM</v>
      </c>
      <c r="H888" s="24" t="str">
        <f>VLOOKUP(A888,'Informe 2025'!$A$5:$C$164,3,FALSE)</f>
        <v>Cultura Luckia</v>
      </c>
      <c r="I888">
        <f>VLOOKUP(H888,'Informe 2025'!$C$6:$M$166,11,FALSE)</f>
        <v>4</v>
      </c>
    </row>
    <row r="889" spans="1:9" x14ac:dyDescent="0.25">
      <c r="A889" s="2">
        <v>73</v>
      </c>
      <c r="B889" t="str">
        <f>VLOOKUP(A889,'Informe 2025'!$1:$1048576,2,FALSE)</f>
        <v>SEPTIEMBRE</v>
      </c>
      <c r="C889" t="s">
        <v>407</v>
      </c>
      <c r="D889" s="20" t="str">
        <f>VLOOKUP(C889,ID!$1:$1048576,4,FALSE)</f>
        <v>101826</v>
      </c>
      <c r="E889" s="20" t="str">
        <f>VLOOKUP(C889,ID!$1:$1048576,3,FALSE)</f>
        <v xml:space="preserve"> NARELA ALIZON JUDYT</v>
      </c>
      <c r="F889" s="20" t="str">
        <f>VLOOKUP(C889,ID!$1:$1048576,2,FALSE)</f>
        <v>MARINO ALARO</v>
      </c>
      <c r="G889" s="2" t="str">
        <f>VLOOKUP(D889,CORREOS!$A$2:$B$570,2,FALSE)</f>
        <v>NMARINO@CL.LUCKIA.COM</v>
      </c>
      <c r="H889" s="24" t="str">
        <f>VLOOKUP(A889,'Informe 2025'!$A$5:$C$164,3,FALSE)</f>
        <v>Cultura Luckia</v>
      </c>
      <c r="I889">
        <f>VLOOKUP(H889,'Informe 2025'!$C$6:$M$166,11,FALSE)</f>
        <v>4</v>
      </c>
    </row>
    <row r="890" spans="1:9" x14ac:dyDescent="0.25">
      <c r="A890" s="2">
        <v>73</v>
      </c>
      <c r="B890" t="str">
        <f>VLOOKUP(A890,'Informe 2025'!$1:$1048576,2,FALSE)</f>
        <v>SEPTIEMBRE</v>
      </c>
      <c r="C890" t="s">
        <v>357</v>
      </c>
      <c r="D890" s="20" t="str">
        <f>VLOOKUP(C890,ID!$1:$1048576,4,FALSE)</f>
        <v>101517</v>
      </c>
      <c r="E890" s="20" t="str">
        <f>VLOOKUP(C890,ID!$1:$1048576,3,FALSE)</f>
        <v xml:space="preserve"> VICTOR ALEJANDRO</v>
      </c>
      <c r="F890" s="20" t="str">
        <f>VLOOKUP(C890,ID!$1:$1048576,2,FALSE)</f>
        <v>GATICA ELIAS</v>
      </c>
      <c r="G890" s="2" t="str">
        <f>VLOOKUP(D890,CORREOS!$A$2:$B$570,2,FALSE)</f>
        <v>VICTORALEJANDRO.GATICA@CL.LUCKIA.COM</v>
      </c>
      <c r="H890" s="24" t="str">
        <f>VLOOKUP(A890,'Informe 2025'!$A$5:$C$164,3,FALSE)</f>
        <v>Cultura Luckia</v>
      </c>
      <c r="I890">
        <f>VLOOKUP(H890,'Informe 2025'!$C$6:$M$166,11,FALSE)</f>
        <v>4</v>
      </c>
    </row>
    <row r="891" spans="1:9" x14ac:dyDescent="0.25">
      <c r="A891" s="2">
        <v>73</v>
      </c>
      <c r="B891" t="str">
        <f>VLOOKUP(A891,'Informe 2025'!$1:$1048576,2,FALSE)</f>
        <v>SEPTIEMBRE</v>
      </c>
      <c r="C891" t="s">
        <v>455</v>
      </c>
      <c r="D891" s="20" t="str">
        <f>VLOOKUP(C891,ID!$1:$1048576,4,FALSE)</f>
        <v>101809</v>
      </c>
      <c r="E891" s="20" t="str">
        <f>VLOOKUP(C891,ID!$1:$1048576,3,FALSE)</f>
        <v xml:space="preserve"> ARIEL RODRIGO</v>
      </c>
      <c r="F891" s="20" t="str">
        <f>VLOOKUP(C891,ID!$1:$1048576,2,FALSE)</f>
        <v>PERALTA CASTILLO</v>
      </c>
      <c r="G891" s="2" t="str">
        <f>VLOOKUP(D891,CORREOS!$A$2:$B$570,2,FALSE)</f>
        <v>APERALTA@CL.LUCKIA.COM</v>
      </c>
      <c r="H891" s="24" t="str">
        <f>VLOOKUP(A891,'Informe 2025'!$A$5:$C$164,3,FALSE)</f>
        <v>Cultura Luckia</v>
      </c>
      <c r="I891">
        <f>VLOOKUP(H891,'Informe 2025'!$C$6:$M$166,11,FALSE)</f>
        <v>4</v>
      </c>
    </row>
    <row r="892" spans="1:9" x14ac:dyDescent="0.25">
      <c r="A892" s="2">
        <v>73</v>
      </c>
      <c r="B892" t="str">
        <f>VLOOKUP(A892,'Informe 2025'!$1:$1048576,2,FALSE)</f>
        <v>SEPTIEMBRE</v>
      </c>
      <c r="C892" t="s">
        <v>530</v>
      </c>
      <c r="D892" s="20" t="str">
        <f>VLOOKUP(C892,ID!$1:$1048576,4,FALSE)</f>
        <v>102695</v>
      </c>
      <c r="E892" s="20" t="str">
        <f>VLOOKUP(C892,ID!$1:$1048576,3,FALSE)</f>
        <v xml:space="preserve"> MAURICIO</v>
      </c>
      <c r="F892" s="20" t="str">
        <f>VLOOKUP(C892,ID!$1:$1048576,2,FALSE)</f>
        <v>VILDOSO GARRIDO</v>
      </c>
      <c r="G892" s="2" t="str">
        <f>VLOOKUP(D892,CORREOS!$A$2:$B$570,2,FALSE)</f>
        <v>MVILDOSO@ANTAYHOTELES.CL</v>
      </c>
      <c r="H892" s="24" t="str">
        <f>VLOOKUP(A892,'Informe 2025'!$A$5:$C$164,3,FALSE)</f>
        <v>Cultura Luckia</v>
      </c>
      <c r="I892">
        <f>VLOOKUP(H892,'Informe 2025'!$C$6:$M$166,11,FALSE)</f>
        <v>4</v>
      </c>
    </row>
    <row r="893" spans="1:9" x14ac:dyDescent="0.25">
      <c r="A893" s="2">
        <v>73</v>
      </c>
      <c r="B893" t="str">
        <f>VLOOKUP(A893,'Informe 2025'!$1:$1048576,2,FALSE)</f>
        <v>SEPTIEMBRE</v>
      </c>
      <c r="C893" t="s">
        <v>271</v>
      </c>
      <c r="D893" s="20" t="str">
        <f>VLOOKUP(C893,ID!$1:$1048576,4,FALSE)</f>
        <v>102903</v>
      </c>
      <c r="E893" s="20" t="str">
        <f>VLOOKUP(C893,ID!$1:$1048576,3,FALSE)</f>
        <v xml:space="preserve"> KEVIN MARCELO</v>
      </c>
      <c r="F893" s="20" t="str">
        <f>VLOOKUP(C893,ID!$1:$1048576,2,FALSE)</f>
        <v>AROS CASTRO</v>
      </c>
      <c r="G893" s="2" t="str">
        <f>VLOOKUP(D893,CORREOS!$A$2:$B$570,2,FALSE)</f>
        <v>KAROS@ANTAYHOTELES.CL</v>
      </c>
      <c r="H893" s="24" t="str">
        <f>VLOOKUP(A893,'Informe 2025'!$A$5:$C$164,3,FALSE)</f>
        <v>Cultura Luckia</v>
      </c>
      <c r="I893">
        <f>VLOOKUP(H893,'Informe 2025'!$C$6:$M$166,11,FALSE)</f>
        <v>4</v>
      </c>
    </row>
    <row r="894" spans="1:9" x14ac:dyDescent="0.25">
      <c r="A894" s="2">
        <v>73</v>
      </c>
      <c r="B894" t="str">
        <f>VLOOKUP(A894,'Informe 2025'!$1:$1048576,2,FALSE)</f>
        <v>SEPTIEMBRE</v>
      </c>
      <c r="C894" t="s">
        <v>274</v>
      </c>
      <c r="D894" s="20" t="str">
        <f>VLOOKUP(C894,ID!$1:$1048576,4,FALSE)</f>
        <v>103084</v>
      </c>
      <c r="E894" s="20" t="str">
        <f>VLOOKUP(C894,ID!$1:$1048576,3,FALSE)</f>
        <v xml:space="preserve"> BASTIAN ANDRES</v>
      </c>
      <c r="F894" s="20" t="str">
        <f>VLOOKUP(C894,ID!$1:$1048576,2,FALSE)</f>
        <v>ARRIAGADA PALTA</v>
      </c>
      <c r="G894" s="2" t="str">
        <f>VLOOKUP(D894,CORREOS!$A$2:$B$570,2,FALSE)</f>
        <v>BARRIAGADA@ANTAYHOTELES.CL</v>
      </c>
      <c r="H894" s="24" t="str">
        <f>VLOOKUP(A894,'Informe 2025'!$A$5:$C$164,3,FALSE)</f>
        <v>Cultura Luckia</v>
      </c>
      <c r="I894">
        <f>VLOOKUP(H894,'Informe 2025'!$C$6:$M$166,11,FALSE)</f>
        <v>4</v>
      </c>
    </row>
    <row r="895" spans="1:9" x14ac:dyDescent="0.25">
      <c r="A895" s="2">
        <v>73</v>
      </c>
      <c r="B895" t="str">
        <f>VLOOKUP(A895,'Informe 2025'!$1:$1048576,2,FALSE)</f>
        <v>SEPTIEMBRE</v>
      </c>
      <c r="C895" t="s">
        <v>1811</v>
      </c>
      <c r="D895" s="20" t="str">
        <f>VLOOKUP(C895,ID!$1:$1048576,4,FALSE)</f>
        <v>101664</v>
      </c>
      <c r="E895" s="20" t="str">
        <f>VLOOKUP(C895,ID!$1:$1048576,3,FALSE)</f>
        <v xml:space="preserve"> EVELYN DENISSE</v>
      </c>
      <c r="F895" s="20" t="str">
        <f>VLOOKUP(C895,ID!$1:$1048576,2,FALSE)</f>
        <v>LOPEZ LORCA</v>
      </c>
      <c r="G895" s="2" t="str">
        <f>VLOOKUP(D895,CORREOS!$A$2:$B$570,2,FALSE)</f>
        <v>EVELYNDENISSE.LOPEZ@ANTAYHOTELES.CL</v>
      </c>
      <c r="H895" s="24" t="str">
        <f>VLOOKUP(A895,'Informe 2025'!$A$5:$C$164,3,FALSE)</f>
        <v>Cultura Luckia</v>
      </c>
      <c r="I895">
        <f>VLOOKUP(H895,'Informe 2025'!$C$6:$M$166,11,FALSE)</f>
        <v>4</v>
      </c>
    </row>
    <row r="896" spans="1:9" x14ac:dyDescent="0.25">
      <c r="A896" s="2">
        <v>73</v>
      </c>
      <c r="B896" t="str">
        <f>VLOOKUP(A896,'Informe 2025'!$1:$1048576,2,FALSE)</f>
        <v>SEPTIEMBRE</v>
      </c>
      <c r="C896" t="s">
        <v>297</v>
      </c>
      <c r="D896" s="20" t="str">
        <f>VLOOKUP(C896,ID!$1:$1048576,4,FALSE)</f>
        <v>101535</v>
      </c>
      <c r="E896" s="20" t="str">
        <f>VLOOKUP(C896,ID!$1:$1048576,3,FALSE)</f>
        <v xml:space="preserve"> BETZABET ALEJANDRA</v>
      </c>
      <c r="F896" s="20" t="str">
        <f>VLOOKUP(C896,ID!$1:$1048576,2,FALSE)</f>
        <v>CARREÑO PIZARRA</v>
      </c>
      <c r="G896" s="2" t="str">
        <f>VLOOKUP(D896,CORREOS!$A$2:$B$570,2,FALSE)</f>
        <v>BETZABETALEJANDRA.CARRENO@ANTAYHOTELES.CL</v>
      </c>
      <c r="H896" s="24" t="str">
        <f>VLOOKUP(A896,'Informe 2025'!$A$5:$C$164,3,FALSE)</f>
        <v>Cultura Luckia</v>
      </c>
      <c r="I896">
        <f>VLOOKUP(H896,'Informe 2025'!$C$6:$M$166,11,FALSE)</f>
        <v>4</v>
      </c>
    </row>
    <row r="897" spans="1:9" x14ac:dyDescent="0.25">
      <c r="A897" s="2">
        <v>73</v>
      </c>
      <c r="B897" t="str">
        <f>VLOOKUP(A897,'Informe 2025'!$1:$1048576,2,FALSE)</f>
        <v>SEPTIEMBRE</v>
      </c>
      <c r="C897" t="s">
        <v>2356</v>
      </c>
      <c r="D897" s="20" t="str">
        <f>VLOOKUP(C897,ID!$1:$1048576,4,FALSE)</f>
        <v>103296</v>
      </c>
      <c r="E897" s="20" t="str">
        <f>VLOOKUP(C897,ID!$1:$1048576,3,FALSE)</f>
        <v xml:space="preserve"> RAFAEL IGNACIO</v>
      </c>
      <c r="F897" s="20" t="str">
        <f>VLOOKUP(C897,ID!$1:$1048576,2,FALSE)</f>
        <v>PEREZ NUÑEZ</v>
      </c>
      <c r="G897" s="2" t="str">
        <f>VLOOKUP(D897,CORREOS!$A$2:$B$570,2,FALSE)</f>
        <v>RPNUNEZ@CL.LUCKIA.COM</v>
      </c>
      <c r="H897" s="24" t="str">
        <f>VLOOKUP(A897,'Informe 2025'!$A$5:$C$164,3,FALSE)</f>
        <v>Cultura Luckia</v>
      </c>
      <c r="I897">
        <f>VLOOKUP(H897,'Informe 2025'!$C$6:$M$166,11,FALSE)</f>
        <v>4</v>
      </c>
    </row>
    <row r="898" spans="1:9" x14ac:dyDescent="0.25">
      <c r="A898" s="2">
        <v>73</v>
      </c>
      <c r="B898" t="str">
        <f>VLOOKUP(A898,'Informe 2025'!$1:$1048576,2,FALSE)</f>
        <v>SEPTIEMBRE</v>
      </c>
      <c r="C898" t="s">
        <v>465</v>
      </c>
      <c r="D898" s="20" t="str">
        <f>VLOOKUP(C898,ID!$1:$1048576,4,FALSE)</f>
        <v>103311</v>
      </c>
      <c r="E898" s="20" t="str">
        <f>VLOOKUP(C898,ID!$1:$1048576,3,FALSE)</f>
        <v xml:space="preserve"> JOHNNY ALEXANDER</v>
      </c>
      <c r="F898" s="20" t="str">
        <f>VLOOKUP(C898,ID!$1:$1048576,2,FALSE)</f>
        <v>PIÑONES RODENAS</v>
      </c>
      <c r="G898" s="2" t="str">
        <f>VLOOKUP(D898,CORREOS!$A$2:$B$570,2,FALSE)</f>
        <v>JPINONES@CL.LUCKIA.COM</v>
      </c>
      <c r="H898" s="24" t="str">
        <f>VLOOKUP(A898,'Informe 2025'!$A$5:$C$164,3,FALSE)</f>
        <v>Cultura Luckia</v>
      </c>
      <c r="I898">
        <f>VLOOKUP(H898,'Informe 2025'!$C$6:$M$166,11,FALSE)</f>
        <v>4</v>
      </c>
    </row>
    <row r="899" spans="1:9" x14ac:dyDescent="0.25">
      <c r="A899" s="2">
        <v>73</v>
      </c>
      <c r="B899" t="str">
        <f>VLOOKUP(A899,'Informe 2025'!$1:$1048576,2,FALSE)</f>
        <v>SEPTIEMBRE</v>
      </c>
      <c r="C899" t="s">
        <v>344</v>
      </c>
      <c r="D899" s="20" t="str">
        <f>VLOOKUP(C899,ID!$1:$1048576,4,FALSE)</f>
        <v>102787</v>
      </c>
      <c r="E899" s="20" t="str">
        <f>VLOOKUP(C899,ID!$1:$1048576,3,FALSE)</f>
        <v xml:space="preserve"> KARINA PATRICIA</v>
      </c>
      <c r="F899" s="20" t="str">
        <f>VLOOKUP(C899,ID!$1:$1048576,2,FALSE)</f>
        <v>FLORES MENDOZA</v>
      </c>
      <c r="G899" s="2" t="str">
        <f>VLOOKUP(D899,CORREOS!$A$2:$B$570,2,FALSE)</f>
        <v>KFMENDOZA@ANTAYHOTELES.CL</v>
      </c>
      <c r="H899" s="24" t="str">
        <f>VLOOKUP(A899,'Informe 2025'!$A$5:$C$164,3,FALSE)</f>
        <v>Cultura Luckia</v>
      </c>
      <c r="I899">
        <f>VLOOKUP(H899,'Informe 2025'!$C$6:$M$166,11,FALSE)</f>
        <v>4</v>
      </c>
    </row>
    <row r="900" spans="1:9" x14ac:dyDescent="0.25">
      <c r="A900" s="2">
        <v>73</v>
      </c>
      <c r="B900" t="str">
        <f>VLOOKUP(A900,'Informe 2025'!$1:$1048576,2,FALSE)</f>
        <v>SEPTIEMBRE</v>
      </c>
      <c r="C900" t="s">
        <v>486</v>
      </c>
      <c r="D900" s="20" t="str">
        <f>VLOOKUP(C900,ID!$1:$1048576,4,FALSE)</f>
        <v>102741</v>
      </c>
      <c r="E900" s="20" t="str">
        <f>VLOOKUP(C900,ID!$1:$1048576,3,FALSE)</f>
        <v xml:space="preserve"> ELIANA</v>
      </c>
      <c r="F900" s="20" t="str">
        <f>VLOOKUP(C900,ID!$1:$1048576,2,FALSE)</f>
        <v>RODAS SALCES</v>
      </c>
      <c r="G900" s="2" t="str">
        <f>VLOOKUP(D900,CORREOS!$A$2:$B$570,2,FALSE)</f>
        <v>ERODAS@ANTAYHOTELES.CL</v>
      </c>
      <c r="H900" s="24" t="str">
        <f>VLOOKUP(A900,'Informe 2025'!$A$5:$C$164,3,FALSE)</f>
        <v>Cultura Luckia</v>
      </c>
      <c r="I900">
        <f>VLOOKUP(H900,'Informe 2025'!$C$6:$M$166,11,FALSE)</f>
        <v>4</v>
      </c>
    </row>
    <row r="901" spans="1:9" x14ac:dyDescent="0.25">
      <c r="A901" s="2">
        <v>73</v>
      </c>
      <c r="B901" t="str">
        <f>VLOOKUP(A901,'Informe 2025'!$1:$1048576,2,FALSE)</f>
        <v>SEPTIEMBRE</v>
      </c>
      <c r="C901" t="s">
        <v>275</v>
      </c>
      <c r="D901" s="20" t="str">
        <f>VLOOKUP(C901,ID!$1:$1048576,4,FALSE)</f>
        <v>102798</v>
      </c>
      <c r="E901" s="20" t="str">
        <f>VLOOKUP(C901,ID!$1:$1048576,3,FALSE)</f>
        <v xml:space="preserve"> ANAHI PAZ</v>
      </c>
      <c r="F901" s="20" t="str">
        <f>VLOOKUP(C901,ID!$1:$1048576,2,FALSE)</f>
        <v>ASTUDILLO MUÑOZ</v>
      </c>
      <c r="G901" s="2" t="str">
        <f>VLOOKUP(D901,CORREOS!$A$2:$B$570,2,FALSE)</f>
        <v>AASTUDILLO@ANTAYHOTELES.CL</v>
      </c>
      <c r="H901" s="24" t="str">
        <f>VLOOKUP(A901,'Informe 2025'!$A$5:$C$164,3,FALSE)</f>
        <v>Cultura Luckia</v>
      </c>
      <c r="I901">
        <f>VLOOKUP(H901,'Informe 2025'!$C$6:$M$166,11,FALSE)</f>
        <v>4</v>
      </c>
    </row>
    <row r="902" spans="1:9" x14ac:dyDescent="0.25">
      <c r="A902" s="2">
        <v>73</v>
      </c>
      <c r="B902" t="str">
        <f>VLOOKUP(A902,'Informe 2025'!$1:$1048576,2,FALSE)</f>
        <v>SEPTIEMBRE</v>
      </c>
      <c r="C902" t="s">
        <v>489</v>
      </c>
      <c r="D902" s="20" t="str">
        <f>VLOOKUP(C902,ID!$1:$1048576,4,FALSE)</f>
        <v>102827</v>
      </c>
      <c r="E902" s="20" t="str">
        <f>VLOOKUP(C902,ID!$1:$1048576,3,FALSE)</f>
        <v xml:space="preserve"> NICOLAS IGNACIO</v>
      </c>
      <c r="F902" s="20" t="str">
        <f>VLOOKUP(C902,ID!$1:$1048576,2,FALSE)</f>
        <v>ROJAS HENRIQUEZ</v>
      </c>
      <c r="G902" s="2" t="str">
        <f>VLOOKUP(D902,CORREOS!$A$2:$B$570,2,FALSE)</f>
        <v>NRHENRIQUEZ@CL.LUCKIA.COM</v>
      </c>
      <c r="H902" s="24" t="str">
        <f>VLOOKUP(A902,'Informe 2025'!$A$5:$C$164,3,FALSE)</f>
        <v>Cultura Luckia</v>
      </c>
      <c r="I902">
        <f>VLOOKUP(H902,'Informe 2025'!$C$6:$M$166,11,FALSE)</f>
        <v>4</v>
      </c>
    </row>
    <row r="903" spans="1:9" x14ac:dyDescent="0.25">
      <c r="A903" s="2">
        <v>73</v>
      </c>
      <c r="B903" t="str">
        <f>VLOOKUP(A903,'Informe 2025'!$1:$1048576,2,FALSE)</f>
        <v>SEPTIEMBRE</v>
      </c>
      <c r="C903" t="s">
        <v>529</v>
      </c>
      <c r="D903" s="20" t="str">
        <f>VLOOKUP(C903,ID!$1:$1048576,4,FALSE)</f>
        <v>101682</v>
      </c>
      <c r="E903" s="20" t="str">
        <f>VLOOKUP(C903,ID!$1:$1048576,3,FALSE)</f>
        <v xml:space="preserve"> ALVARO GUILLERMO</v>
      </c>
      <c r="F903" s="20" t="str">
        <f>VLOOKUP(C903,ID!$1:$1048576,2,FALSE)</f>
        <v>VIDAL RAMIREZ</v>
      </c>
      <c r="G903" s="2" t="str">
        <f>VLOOKUP(D903,CORREOS!$A$2:$B$570,2,FALSE)</f>
        <v>ALVAROGUILLERMO.VIDAL@CL.LUCKIA.COM</v>
      </c>
      <c r="H903" s="24" t="str">
        <f>VLOOKUP(A903,'Informe 2025'!$A$5:$C$164,3,FALSE)</f>
        <v>Cultura Luckia</v>
      </c>
      <c r="I903">
        <f>VLOOKUP(H903,'Informe 2025'!$C$6:$M$166,11,FALSE)</f>
        <v>4</v>
      </c>
    </row>
    <row r="904" spans="1:9" x14ac:dyDescent="0.25">
      <c r="A904" s="2">
        <v>73</v>
      </c>
      <c r="B904" t="str">
        <f>VLOOKUP(A904,'Informe 2025'!$1:$1048576,2,FALSE)</f>
        <v>SEPTIEMBRE</v>
      </c>
      <c r="C904" t="s">
        <v>289</v>
      </c>
      <c r="D904" s="20" t="str">
        <f>VLOOKUP(C904,ID!$1:$1048576,4,FALSE)</f>
        <v>101866</v>
      </c>
      <c r="E904" s="20" t="str">
        <f>VLOOKUP(C904,ID!$1:$1048576,3,FALSE)</f>
        <v xml:space="preserve"> MELANIE EUGENIA</v>
      </c>
      <c r="F904" s="20" t="str">
        <f>VLOOKUP(C904,ID!$1:$1048576,2,FALSE)</f>
        <v>CARMONA JAIME</v>
      </c>
      <c r="G904" s="2" t="str">
        <f>VLOOKUP(D904,CORREOS!$A$2:$B$570,2,FALSE)</f>
        <v>MCJAIME@ANTAYHOTELES.CL</v>
      </c>
      <c r="H904" s="24" t="str">
        <f>VLOOKUP(A904,'Informe 2025'!$A$5:$C$164,3,FALSE)</f>
        <v>Cultura Luckia</v>
      </c>
      <c r="I904">
        <f>VLOOKUP(H904,'Informe 2025'!$C$6:$M$166,11,FALSE)</f>
        <v>4</v>
      </c>
    </row>
    <row r="905" spans="1:9" x14ac:dyDescent="0.25">
      <c r="A905" s="2">
        <v>73</v>
      </c>
      <c r="B905" t="str">
        <f>VLOOKUP(A905,'Informe 2025'!$1:$1048576,2,FALSE)</f>
        <v>SEPTIEMBRE</v>
      </c>
      <c r="C905" t="s">
        <v>504</v>
      </c>
      <c r="D905" s="20" t="str">
        <f>VLOOKUP(C905,ID!$1:$1048576,4,FALSE)</f>
        <v>102144</v>
      </c>
      <c r="E905" s="20" t="str">
        <f>VLOOKUP(C905,ID!$1:$1048576,3,FALSE)</f>
        <v xml:space="preserve"> GUSTAVO ALONSO</v>
      </c>
      <c r="F905" s="20" t="str">
        <f>VLOOKUP(C905,ID!$1:$1048576,2,FALSE)</f>
        <v>SESSAREGO BARRIOS</v>
      </c>
      <c r="G905" s="2" t="str">
        <f>VLOOKUP(D905,CORREOS!$A$2:$B$570,2,FALSE)</f>
        <v>GSESSAREGO@ANTAYHOTELES.CL</v>
      </c>
      <c r="H905" s="24" t="str">
        <f>VLOOKUP(A905,'Informe 2025'!$A$5:$C$164,3,FALSE)</f>
        <v>Cultura Luckia</v>
      </c>
      <c r="I905">
        <f>VLOOKUP(H905,'Informe 2025'!$C$6:$M$166,11,FALSE)</f>
        <v>4</v>
      </c>
    </row>
    <row r="906" spans="1:9" x14ac:dyDescent="0.25">
      <c r="A906" s="2">
        <v>73</v>
      </c>
      <c r="B906" t="str">
        <f>VLOOKUP(A906,'Informe 2025'!$1:$1048576,2,FALSE)</f>
        <v>SEPTIEMBRE</v>
      </c>
      <c r="C906" t="s">
        <v>486</v>
      </c>
      <c r="D906" s="20" t="str">
        <f>VLOOKUP(C906,ID!$1:$1048576,4,FALSE)</f>
        <v>102741</v>
      </c>
      <c r="E906" s="20" t="str">
        <f>VLOOKUP(C906,ID!$1:$1048576,3,FALSE)</f>
        <v xml:space="preserve"> ELIANA</v>
      </c>
      <c r="F906" s="20" t="str">
        <f>VLOOKUP(C906,ID!$1:$1048576,2,FALSE)</f>
        <v>RODAS SALCES</v>
      </c>
      <c r="G906" s="2" t="str">
        <f>VLOOKUP(D906,CORREOS!$A$2:$B$570,2,FALSE)</f>
        <v>ERODAS@ANTAYHOTELES.CL</v>
      </c>
      <c r="H906" s="24" t="str">
        <f>VLOOKUP(A906,'Informe 2025'!$A$5:$C$164,3,FALSE)</f>
        <v>Cultura Luckia</v>
      </c>
      <c r="I906">
        <f>VLOOKUP(H906,'Informe 2025'!$C$6:$M$166,11,FALSE)</f>
        <v>4</v>
      </c>
    </row>
    <row r="907" spans="1:9" x14ac:dyDescent="0.25">
      <c r="A907" s="2">
        <v>73</v>
      </c>
      <c r="B907" t="str">
        <f>VLOOKUP(A907,'Informe 2025'!$1:$1048576,2,FALSE)</f>
        <v>SEPTIEMBRE</v>
      </c>
      <c r="C907" t="s">
        <v>452</v>
      </c>
      <c r="D907" s="20" t="str">
        <f>VLOOKUP(C907,ID!$1:$1048576,4,FALSE)</f>
        <v>101886</v>
      </c>
      <c r="E907" s="20" t="str">
        <f>VLOOKUP(C907,ID!$1:$1048576,3,FALSE)</f>
        <v xml:space="preserve"> FERNANDO IVAN</v>
      </c>
      <c r="F907" s="20" t="str">
        <f>VLOOKUP(C907,ID!$1:$1048576,2,FALSE)</f>
        <v>PALMA QUIMPER</v>
      </c>
      <c r="G907" s="2" t="str">
        <f>VLOOKUP(D907,CORREOS!$A$2:$B$570,2,FALSE)</f>
        <v>FPALMA@CL.LUCKIA.COM</v>
      </c>
      <c r="H907" s="24" t="str">
        <f>VLOOKUP(A907,'Informe 2025'!$A$5:$C$164,3,FALSE)</f>
        <v>Cultura Luckia</v>
      </c>
      <c r="I907">
        <f>VLOOKUP(H907,'Informe 2025'!$C$6:$M$166,11,FALSE)</f>
        <v>4</v>
      </c>
    </row>
    <row r="908" spans="1:9" x14ac:dyDescent="0.25">
      <c r="A908" s="2">
        <v>74</v>
      </c>
      <c r="B908" t="str">
        <f>VLOOKUP(A908,'Informe 2025'!$1:$1048576,2,FALSE)</f>
        <v>SEPTIEMBRE</v>
      </c>
      <c r="C908" t="s">
        <v>503</v>
      </c>
      <c r="D908" s="20" t="str">
        <f>VLOOKUP(C908,ID!$1:$1048576,4,FALSE)</f>
        <v>101382</v>
      </c>
      <c r="E908" s="20" t="str">
        <f>VLOOKUP(C908,ID!$1:$1048576,3,FALSE)</f>
        <v xml:space="preserve"> ROMINA PATZZY ALEJANDR</v>
      </c>
      <c r="F908" s="20" t="str">
        <f>VLOOKUP(C908,ID!$1:$1048576,2,FALSE)</f>
        <v>SEPULVEDA FLORES</v>
      </c>
      <c r="G908" s="2" t="str">
        <f>VLOOKUP(D908,CORREOS!$A$2:$B$570,2,FALSE)</f>
        <v>ROMINAPATZZYALEJANDRA.SEPULVEDA@CL.LUCKIA.COM</v>
      </c>
      <c r="H908" s="24" t="str">
        <f>VLOOKUP(A908,'Informe 2025'!$A$5:$C$164,3,FALSE)</f>
        <v>Manejo de cliente dificil</v>
      </c>
      <c r="I908">
        <f>VLOOKUP(H908,'Informe 2025'!$C$6:$M$166,11,FALSE)</f>
        <v>5</v>
      </c>
    </row>
    <row r="909" spans="1:9" x14ac:dyDescent="0.25">
      <c r="A909" s="2">
        <v>74</v>
      </c>
      <c r="B909" t="str">
        <f>VLOOKUP(A909,'Informe 2025'!$1:$1048576,2,FALSE)</f>
        <v>SEPTIEMBRE</v>
      </c>
      <c r="C909" t="s">
        <v>395</v>
      </c>
      <c r="D909" s="20" t="str">
        <f>VLOOKUP(C909,ID!$1:$1048576,4,FALSE)</f>
        <v>102063</v>
      </c>
      <c r="E909" s="20" t="str">
        <f>VLOOKUP(C909,ID!$1:$1048576,3,FALSE)</f>
        <v xml:space="preserve"> MICHELLE ANNETTE</v>
      </c>
      <c r="F909" s="20" t="str">
        <f>VLOOKUP(C909,ID!$1:$1048576,2,FALSE)</f>
        <v>LEAL LEYTON</v>
      </c>
      <c r="G909" s="2" t="str">
        <f>VLOOKUP(D909,CORREOS!$A$2:$B$570,2,FALSE)</f>
        <v>MLEAL@CL.LUCKIA.COM</v>
      </c>
      <c r="H909" s="24" t="str">
        <f>VLOOKUP(A909,'Informe 2025'!$A$5:$C$164,3,FALSE)</f>
        <v>Manejo de cliente dificil</v>
      </c>
      <c r="I909">
        <f>VLOOKUP(H909,'Informe 2025'!$C$6:$M$166,11,FALSE)</f>
        <v>5</v>
      </c>
    </row>
    <row r="910" spans="1:9" x14ac:dyDescent="0.25">
      <c r="A910" s="2">
        <v>74</v>
      </c>
      <c r="B910" t="str">
        <f>VLOOKUP(A910,'Informe 2025'!$1:$1048576,2,FALSE)</f>
        <v>SEPTIEMBRE</v>
      </c>
      <c r="C910" t="s">
        <v>527</v>
      </c>
      <c r="D910" s="20" t="str">
        <f>VLOOKUP(C910,ID!$1:$1048576,4,FALSE)</f>
        <v>103766</v>
      </c>
      <c r="E910" s="20" t="str">
        <f>VLOOKUP(C910,ID!$1:$1048576,3,FALSE)</f>
        <v xml:space="preserve"> BASTIAN ADRIAN</v>
      </c>
      <c r="F910" s="20" t="str">
        <f>VLOOKUP(C910,ID!$1:$1048576,2,FALSE)</f>
        <v>VERA CALDERON</v>
      </c>
      <c r="G910" s="2" t="str">
        <f>VLOOKUP(D910,CORREOS!$A$2:$B$570,2,FALSE)</f>
        <v>BVERA@CL.LUCKIA.COM</v>
      </c>
      <c r="H910" s="24" t="str">
        <f>VLOOKUP(A910,'Informe 2025'!$A$5:$C$164,3,FALSE)</f>
        <v>Manejo de cliente dificil</v>
      </c>
      <c r="I910">
        <f>VLOOKUP(H910,'Informe 2025'!$C$6:$M$166,11,FALSE)</f>
        <v>5</v>
      </c>
    </row>
    <row r="911" spans="1:9" x14ac:dyDescent="0.25">
      <c r="A911" s="2">
        <v>74</v>
      </c>
      <c r="B911" t="str">
        <f>VLOOKUP(A911,'Informe 2025'!$1:$1048576,2,FALSE)</f>
        <v>SEPTIEMBRE</v>
      </c>
      <c r="C911" t="s">
        <v>1809</v>
      </c>
      <c r="D911" s="20" t="str">
        <f>VLOOKUP(C911,ID!$1:$1048576,4,FALSE)</f>
        <v>103810</v>
      </c>
      <c r="E911" s="20" t="str">
        <f>VLOOKUP(C911,ID!$1:$1048576,3,FALSE)</f>
        <v xml:space="preserve"> ARANZA ALEJANDRA</v>
      </c>
      <c r="F911" s="20" t="str">
        <f>VLOOKUP(C911,ID!$1:$1048576,2,FALSE)</f>
        <v>CASTILLO VARAS</v>
      </c>
      <c r="G911" s="2" t="str">
        <f>VLOOKUP(D911,CORREOS!$A$2:$B$570,2,FALSE)</f>
        <v xml:space="preserve"> ARANZA ALEJANDRA</v>
      </c>
      <c r="H911" s="24" t="str">
        <f>VLOOKUP(A911,'Informe 2025'!$A$5:$C$164,3,FALSE)</f>
        <v>Manejo de cliente dificil</v>
      </c>
      <c r="I911">
        <f>VLOOKUP(H911,'Informe 2025'!$C$6:$M$166,11,FALSE)</f>
        <v>5</v>
      </c>
    </row>
    <row r="912" spans="1:9" x14ac:dyDescent="0.25">
      <c r="A912" s="2">
        <v>74</v>
      </c>
      <c r="B912" t="str">
        <f>VLOOKUP(A912,'Informe 2025'!$1:$1048576,2,FALSE)</f>
        <v>SEPTIEMBRE</v>
      </c>
      <c r="C912" t="s">
        <v>452</v>
      </c>
      <c r="D912" s="20" t="str">
        <f>VLOOKUP(C912,ID!$1:$1048576,4,FALSE)</f>
        <v>101886</v>
      </c>
      <c r="E912" s="20" t="str">
        <f>VLOOKUP(C912,ID!$1:$1048576,3,FALSE)</f>
        <v xml:space="preserve"> FERNANDO IVAN</v>
      </c>
      <c r="F912" s="20" t="str">
        <f>VLOOKUP(C912,ID!$1:$1048576,2,FALSE)</f>
        <v>PALMA QUIMPER</v>
      </c>
      <c r="G912" s="2" t="str">
        <f>VLOOKUP(D912,CORREOS!$A$2:$B$570,2,FALSE)</f>
        <v>FPALMA@CL.LUCKIA.COM</v>
      </c>
      <c r="H912" s="24" t="str">
        <f>VLOOKUP(A912,'Informe 2025'!$A$5:$C$164,3,FALSE)</f>
        <v>Manejo de cliente dificil</v>
      </c>
      <c r="I912">
        <f>VLOOKUP(H912,'Informe 2025'!$C$6:$M$166,11,FALSE)</f>
        <v>5</v>
      </c>
    </row>
    <row r="913" spans="1:9" x14ac:dyDescent="0.25">
      <c r="A913" s="2">
        <v>74</v>
      </c>
      <c r="B913" t="str">
        <f>VLOOKUP(A913,'Informe 2025'!$1:$1048576,2,FALSE)</f>
        <v>SEPTIEMBRE</v>
      </c>
      <c r="C913" t="s">
        <v>491</v>
      </c>
      <c r="D913" s="20" t="str">
        <f>VLOOKUP(C913,ID!$1:$1048576,4,FALSE)</f>
        <v>102893</v>
      </c>
      <c r="E913" s="20" t="str">
        <f>VLOOKUP(C913,ID!$1:$1048576,3,FALSE)</f>
        <v xml:space="preserve"> YEREMI ALAN</v>
      </c>
      <c r="F913" s="20" t="str">
        <f>VLOOKUP(C913,ID!$1:$1048576,2,FALSE)</f>
        <v>ROJAS MORGADO</v>
      </c>
      <c r="G913" s="2" t="str">
        <f>VLOOKUP(D913,CORREOS!$A$2:$B$570,2,FALSE)</f>
        <v>YRMORGADO@CL.LUCKIA.COM</v>
      </c>
      <c r="H913" s="24" t="str">
        <f>VLOOKUP(A913,'Informe 2025'!$A$5:$C$164,3,FALSE)</f>
        <v>Manejo de cliente dificil</v>
      </c>
      <c r="I913">
        <f>VLOOKUP(H913,'Informe 2025'!$C$6:$M$166,11,FALSE)</f>
        <v>5</v>
      </c>
    </row>
    <row r="914" spans="1:9" x14ac:dyDescent="0.25">
      <c r="A914" s="2">
        <v>74</v>
      </c>
      <c r="B914" t="str">
        <f>VLOOKUP(A914,'Informe 2025'!$1:$1048576,2,FALSE)</f>
        <v>SEPTIEMBRE</v>
      </c>
      <c r="C914" t="s">
        <v>328</v>
      </c>
      <c r="D914" s="20" t="str">
        <f>VLOOKUP(C914,ID!$1:$1048576,4,FALSE)</f>
        <v>101398</v>
      </c>
      <c r="E914" s="20" t="str">
        <f>VLOOKUP(C914,ID!$1:$1048576,3,FALSE)</f>
        <v xml:space="preserve"> OLGA DEL CARMEN</v>
      </c>
      <c r="F914" s="20" t="str">
        <f>VLOOKUP(C914,ID!$1:$1048576,2,FALSE)</f>
        <v>DELGADO BUSTOS</v>
      </c>
      <c r="G914" s="2" t="str">
        <f>VLOOKUP(D914,CORREOS!$A$2:$B$570,2,FALSE)</f>
        <v>OLGADELCARMEN.DELGADO@CL.LUCKIA.COM</v>
      </c>
      <c r="H914" s="24" t="str">
        <f>VLOOKUP(A914,'Informe 2025'!$A$5:$C$164,3,FALSE)</f>
        <v>Manejo de cliente dificil</v>
      </c>
      <c r="I914">
        <f>VLOOKUP(H914,'Informe 2025'!$C$6:$M$166,11,FALSE)</f>
        <v>5</v>
      </c>
    </row>
    <row r="915" spans="1:9" x14ac:dyDescent="0.25">
      <c r="A915" s="2">
        <v>74</v>
      </c>
      <c r="B915" t="str">
        <f>VLOOKUP(A915,'Informe 2025'!$1:$1048576,2,FALSE)</f>
        <v>SEPTIEMBRE</v>
      </c>
      <c r="C915" t="s">
        <v>489</v>
      </c>
      <c r="D915" s="20" t="str">
        <f>VLOOKUP(C915,ID!$1:$1048576,4,FALSE)</f>
        <v>102827</v>
      </c>
      <c r="E915" s="20" t="str">
        <f>VLOOKUP(C915,ID!$1:$1048576,3,FALSE)</f>
        <v xml:space="preserve"> NICOLAS IGNACIO</v>
      </c>
      <c r="F915" s="20" t="str">
        <f>VLOOKUP(C915,ID!$1:$1048576,2,FALSE)</f>
        <v>ROJAS HENRIQUEZ</v>
      </c>
      <c r="G915" s="2" t="str">
        <f>VLOOKUP(D915,CORREOS!$A$2:$B$570,2,FALSE)</f>
        <v>NRHENRIQUEZ@CL.LUCKIA.COM</v>
      </c>
      <c r="H915" s="24" t="str">
        <f>VLOOKUP(A915,'Informe 2025'!$A$5:$C$164,3,FALSE)</f>
        <v>Manejo de cliente dificil</v>
      </c>
      <c r="I915">
        <f>VLOOKUP(H915,'Informe 2025'!$C$6:$M$166,11,FALSE)</f>
        <v>5</v>
      </c>
    </row>
    <row r="916" spans="1:9" x14ac:dyDescent="0.25">
      <c r="A916" s="2">
        <v>74</v>
      </c>
      <c r="B916" t="str">
        <f>VLOOKUP(A916,'Informe 2025'!$1:$1048576,2,FALSE)</f>
        <v>SEPTIEMBRE</v>
      </c>
      <c r="C916" t="s">
        <v>275</v>
      </c>
      <c r="D916" s="20" t="str">
        <f>VLOOKUP(C916,ID!$1:$1048576,4,FALSE)</f>
        <v>102798</v>
      </c>
      <c r="E916" s="20" t="str">
        <f>VLOOKUP(C916,ID!$1:$1048576,3,FALSE)</f>
        <v xml:space="preserve"> ANAHI PAZ</v>
      </c>
      <c r="F916" s="20" t="str">
        <f>VLOOKUP(C916,ID!$1:$1048576,2,FALSE)</f>
        <v>ASTUDILLO MUÑOZ</v>
      </c>
      <c r="G916" s="2" t="str">
        <f>VLOOKUP(D916,CORREOS!$A$2:$B$570,2,FALSE)</f>
        <v>AASTUDILLO@ANTAYHOTELES.CL</v>
      </c>
      <c r="H916" s="24" t="str">
        <f>VLOOKUP(A916,'Informe 2025'!$A$5:$C$164,3,FALSE)</f>
        <v>Manejo de cliente dificil</v>
      </c>
      <c r="I916">
        <f>VLOOKUP(H916,'Informe 2025'!$C$6:$M$166,11,FALSE)</f>
        <v>5</v>
      </c>
    </row>
    <row r="917" spans="1:9" x14ac:dyDescent="0.25">
      <c r="A917" s="2">
        <v>74</v>
      </c>
      <c r="B917" t="str">
        <f>VLOOKUP(A917,'Informe 2025'!$1:$1048576,2,FALSE)</f>
        <v>SEPTIEMBRE</v>
      </c>
      <c r="C917" t="s">
        <v>497</v>
      </c>
      <c r="D917" s="20" t="str">
        <f>VLOOKUP(C917,ID!$1:$1048576,4,FALSE)</f>
        <v>101379</v>
      </c>
      <c r="E917" s="20" t="str">
        <f>VLOOKUP(C917,ID!$1:$1048576,3,FALSE)</f>
        <v xml:space="preserve"> FABRIZZIO ANIBAL DUVAN</v>
      </c>
      <c r="F917" s="20" t="str">
        <f>VLOOKUP(C917,ID!$1:$1048576,2,FALSE)</f>
        <v>SALDAÑO CHAMORRO</v>
      </c>
      <c r="G917" s="2" t="str">
        <f>VLOOKUP(D917,CORREOS!$A$2:$B$570,2,FALSE)</f>
        <v>FABRIZZIOANIBALDUVAN.SALDANO@CL.LUCKIA.COM</v>
      </c>
      <c r="H917" s="24" t="str">
        <f>VLOOKUP(A917,'Informe 2025'!$A$5:$C$164,3,FALSE)</f>
        <v>Manejo de cliente dificil</v>
      </c>
      <c r="I917">
        <f>VLOOKUP(H917,'Informe 2025'!$C$6:$M$166,11,FALSE)</f>
        <v>5</v>
      </c>
    </row>
    <row r="918" spans="1:9" x14ac:dyDescent="0.25">
      <c r="A918" s="2">
        <v>74</v>
      </c>
      <c r="B918" t="str">
        <f>VLOOKUP(A918,'Informe 2025'!$1:$1048576,2,FALSE)</f>
        <v>SEPTIEMBRE</v>
      </c>
      <c r="C918" t="s">
        <v>479</v>
      </c>
      <c r="D918" s="20" t="str">
        <f>VLOOKUP(C918,ID!$1:$1048576,4,FALSE)</f>
        <v>102803</v>
      </c>
      <c r="E918" s="20" t="str">
        <f>VLOOKUP(C918,ID!$1:$1048576,3,FALSE)</f>
        <v xml:space="preserve"> CATALINA JYO</v>
      </c>
      <c r="F918" s="20" t="str">
        <f>VLOOKUP(C918,ID!$1:$1048576,2,FALSE)</f>
        <v>RIQUELME LOPEZ</v>
      </c>
      <c r="G918" s="2" t="str">
        <f>VLOOKUP(D918,CORREOS!$A$2:$B$570,2,FALSE)</f>
        <v>CRIQUELMEL@CL.LUCKIA.COM</v>
      </c>
      <c r="H918" s="24" t="str">
        <f>VLOOKUP(A918,'Informe 2025'!$A$5:$C$164,3,FALSE)</f>
        <v>Manejo de cliente dificil</v>
      </c>
      <c r="I918">
        <f>VLOOKUP(H918,'Informe 2025'!$C$6:$M$166,11,FALSE)</f>
        <v>5</v>
      </c>
    </row>
    <row r="919" spans="1:9" x14ac:dyDescent="0.25">
      <c r="A919" s="2">
        <v>74</v>
      </c>
      <c r="B919" t="str">
        <f>VLOOKUP(A919,'Informe 2025'!$1:$1048576,2,FALSE)</f>
        <v>SEPTIEMBRE</v>
      </c>
      <c r="C919" t="s">
        <v>270</v>
      </c>
      <c r="D919" s="20" t="str">
        <f>VLOOKUP(C919,ID!$1:$1048576,4,FALSE)</f>
        <v>101357</v>
      </c>
      <c r="E919" s="20" t="str">
        <f>VLOOKUP(C919,ID!$1:$1048576,3,FALSE)</f>
        <v xml:space="preserve"> JOSE IGNACIO</v>
      </c>
      <c r="F919" s="20" t="str">
        <f>VLOOKUP(C919,ID!$1:$1048576,2,FALSE)</f>
        <v>ARIAS BARRAZA</v>
      </c>
      <c r="G919" s="2" t="str">
        <f>VLOOKUP(D919,CORREOS!$A$2:$B$570,2,FALSE)</f>
        <v>JOSEIGNACIO.ARIAS@CL.LUCKIA.COM</v>
      </c>
      <c r="H919" s="24" t="str">
        <f>VLOOKUP(A919,'Informe 2025'!$A$5:$C$164,3,FALSE)</f>
        <v>Manejo de cliente dificil</v>
      </c>
      <c r="I919">
        <f>VLOOKUP(H919,'Informe 2025'!$C$6:$M$166,11,FALSE)</f>
        <v>5</v>
      </c>
    </row>
    <row r="920" spans="1:9" x14ac:dyDescent="0.25">
      <c r="A920" s="2">
        <v>74</v>
      </c>
      <c r="B920" t="str">
        <f>VLOOKUP(A920,'Informe 2025'!$1:$1048576,2,FALSE)</f>
        <v>SEPTIEMBRE</v>
      </c>
      <c r="C920" t="s">
        <v>477</v>
      </c>
      <c r="D920" s="20" t="str">
        <f>VLOOKUP(C920,ID!$1:$1048576,4,FALSE)</f>
        <v>103560</v>
      </c>
      <c r="E920" s="20" t="str">
        <f>VLOOKUP(C920,ID!$1:$1048576,3,FALSE)</f>
        <v xml:space="preserve"> MATIAS GEOVANNI</v>
      </c>
      <c r="F920" s="20" t="str">
        <f>VLOOKUP(C920,ID!$1:$1048576,2,FALSE)</f>
        <v>REYES ARAYA</v>
      </c>
      <c r="G920" s="2" t="str">
        <f>VLOOKUP(D920,CORREOS!$A$2:$B$570,2,FALSE)</f>
        <v>MREYES@CL.LUCKIA.COM</v>
      </c>
      <c r="H920" s="24" t="str">
        <f>VLOOKUP(A920,'Informe 2025'!$A$5:$C$164,3,FALSE)</f>
        <v>Manejo de cliente dificil</v>
      </c>
      <c r="I920">
        <f>VLOOKUP(H920,'Informe 2025'!$C$6:$M$166,11,FALSE)</f>
        <v>5</v>
      </c>
    </row>
    <row r="921" spans="1:9" x14ac:dyDescent="0.25">
      <c r="A921" s="2">
        <v>74</v>
      </c>
      <c r="B921" t="str">
        <f>VLOOKUP(A921,'Informe 2025'!$1:$1048576,2,FALSE)</f>
        <v>SEPTIEMBRE</v>
      </c>
      <c r="C921" s="25" t="s">
        <v>461</v>
      </c>
      <c r="D921" s="20" t="str">
        <f>VLOOKUP(C921,ID!$1:$1048576,4,FALSE)</f>
        <v>101883</v>
      </c>
      <c r="E921" s="20" t="str">
        <f>VLOOKUP(C921,ID!$1:$1048576,3,FALSE)</f>
        <v xml:space="preserve"> CLAUDIO</v>
      </c>
      <c r="F921" s="20" t="str">
        <f>VLOOKUP(C921,ID!$1:$1048576,2,FALSE)</f>
        <v>PEREZ URRUTIA</v>
      </c>
      <c r="G921" s="2" t="str">
        <f>VLOOKUP(D921,CORREOS!$A$2:$B$570,2,FALSE)</f>
        <v>CPEREZ@ANTAYHOTELES.CL</v>
      </c>
      <c r="H921" s="24" t="str">
        <f>VLOOKUP(A921,'Informe 2025'!$A$5:$C$164,3,FALSE)</f>
        <v>Manejo de cliente dificil</v>
      </c>
      <c r="I921">
        <f>VLOOKUP(H921,'Informe 2025'!$C$6:$M$166,11,FALSE)</f>
        <v>5</v>
      </c>
    </row>
    <row r="922" spans="1:9" x14ac:dyDescent="0.25">
      <c r="A922" s="2">
        <v>74</v>
      </c>
      <c r="B922" t="str">
        <f>VLOOKUP(A922,'Informe 2025'!$1:$1048576,2,FALSE)</f>
        <v>SEPTIEMBRE</v>
      </c>
      <c r="C922" t="s">
        <v>1627</v>
      </c>
      <c r="D922" s="20" t="str">
        <f>VLOOKUP(C922,ID!$1:$1048576,4,FALSE)</f>
        <v>103792</v>
      </c>
      <c r="E922" s="20" t="str">
        <f>VLOOKUP(C922,ID!$1:$1048576,3,FALSE)</f>
        <v xml:space="preserve"> FERNANDA IGNACIA</v>
      </c>
      <c r="F922" s="20" t="str">
        <f>VLOOKUP(C922,ID!$1:$1048576,2,FALSE)</f>
        <v>ARAYA LORCA</v>
      </c>
      <c r="G922" s="2" t="str">
        <f>VLOOKUP(D922,CORREOS!$A$2:$B$570,2,FALSE)</f>
        <v>FALORCA@cl.luckia.com</v>
      </c>
      <c r="H922" s="24" t="str">
        <f>VLOOKUP(A922,'Informe 2025'!$A$5:$C$164,3,FALSE)</f>
        <v>Manejo de cliente dificil</v>
      </c>
      <c r="I922">
        <f>VLOOKUP(H922,'Informe 2025'!$C$6:$M$166,11,FALSE)</f>
        <v>5</v>
      </c>
    </row>
    <row r="923" spans="1:9" x14ac:dyDescent="0.25">
      <c r="A923" s="2">
        <v>74</v>
      </c>
      <c r="B923" t="str">
        <f>VLOOKUP(A923,'Informe 2025'!$1:$1048576,2,FALSE)</f>
        <v>SEPTIEMBRE</v>
      </c>
      <c r="C923" t="s">
        <v>304</v>
      </c>
      <c r="D923" s="20" t="str">
        <f>VLOOKUP(C923,ID!$1:$1048576,4,FALSE)</f>
        <v>102446</v>
      </c>
      <c r="E923" s="20" t="str">
        <f>VLOOKUP(C923,ID!$1:$1048576,3,FALSE)</f>
        <v xml:space="preserve"> TAMARA ALEXANDRA</v>
      </c>
      <c r="F923" s="20" t="str">
        <f>VLOOKUP(C923,ID!$1:$1048576,2,FALSE)</f>
        <v>CASTRO MURA</v>
      </c>
      <c r="G923" s="2" t="str">
        <f>VLOOKUP(D923,CORREOS!$A$2:$B$570,2,FALSE)</f>
        <v>TCASTRO@CL.LUCKIA.COM</v>
      </c>
      <c r="H923" s="24" t="str">
        <f>VLOOKUP(A923,'Informe 2025'!$A$5:$C$164,3,FALSE)</f>
        <v>Manejo de cliente dificil</v>
      </c>
      <c r="I923">
        <f>VLOOKUP(H923,'Informe 2025'!$C$6:$M$166,11,FALSE)</f>
        <v>5</v>
      </c>
    </row>
    <row r="924" spans="1:9" x14ac:dyDescent="0.25">
      <c r="A924" s="2">
        <v>74</v>
      </c>
      <c r="B924" t="str">
        <f>VLOOKUP(A924,'Informe 2025'!$1:$1048576,2,FALSE)</f>
        <v>SEPTIEMBRE</v>
      </c>
      <c r="C924" t="s">
        <v>369</v>
      </c>
      <c r="D924" s="20" t="str">
        <f>VLOOKUP(C924,ID!$1:$1048576,4,FALSE)</f>
        <v>101831</v>
      </c>
      <c r="E924" s="20" t="str">
        <f>VLOOKUP(C924,ID!$1:$1048576,3,FALSE)</f>
        <v xml:space="preserve"> CONSTANZA CATALINA</v>
      </c>
      <c r="F924" s="20" t="str">
        <f>VLOOKUP(C924,ID!$1:$1048576,2,FALSE)</f>
        <v>GONZALEZ CONTRERAS</v>
      </c>
      <c r="G924" s="2" t="str">
        <f>VLOOKUP(D924,CORREOS!$A$2:$B$570,2,FALSE)</f>
        <v>CGCONTRERAS@CL.LUCKIA.COM</v>
      </c>
      <c r="H924" s="24" t="str">
        <f>VLOOKUP(A924,'Informe 2025'!$A$5:$C$164,3,FALSE)</f>
        <v>Manejo de cliente dificil</v>
      </c>
      <c r="I924">
        <f>VLOOKUP(H924,'Informe 2025'!$C$6:$M$166,11,FALSE)</f>
        <v>5</v>
      </c>
    </row>
    <row r="925" spans="1:9" x14ac:dyDescent="0.25">
      <c r="A925" s="2">
        <v>74</v>
      </c>
      <c r="B925" t="str">
        <f>VLOOKUP(A925,'Informe 2025'!$1:$1048576,2,FALSE)</f>
        <v>SEPTIEMBRE</v>
      </c>
      <c r="C925" t="s">
        <v>260</v>
      </c>
      <c r="D925" s="20" t="str">
        <f>VLOOKUP(C925,ID!$1:$1048576,4,FALSE)</f>
        <v>102784</v>
      </c>
      <c r="E925" s="20" t="str">
        <f>VLOOKUP(C925,ID!$1:$1048576,3,FALSE)</f>
        <v xml:space="preserve"> SCARLETT PAMELA</v>
      </c>
      <c r="F925" s="20" t="str">
        <f>VLOOKUP(C925,ID!$1:$1048576,2,FALSE)</f>
        <v>APE PEREZ</v>
      </c>
      <c r="G925" s="2" t="str">
        <f>VLOOKUP(D925,CORREOS!$A$2:$B$570,2,FALSE)</f>
        <v>SAPE@CL.LUCKIA.COM</v>
      </c>
      <c r="H925" s="24" t="str">
        <f>VLOOKUP(A925,'Informe 2025'!$A$5:$C$164,3,FALSE)</f>
        <v>Manejo de cliente dificil</v>
      </c>
      <c r="I925">
        <f>VLOOKUP(H925,'Informe 2025'!$C$6:$M$166,11,FALSE)</f>
        <v>5</v>
      </c>
    </row>
    <row r="926" spans="1:9" x14ac:dyDescent="0.25">
      <c r="A926" s="2">
        <v>74</v>
      </c>
      <c r="B926" t="str">
        <f>VLOOKUP(A926,'Informe 2025'!$1:$1048576,2,FALSE)</f>
        <v>SEPTIEMBRE</v>
      </c>
      <c r="C926" t="s">
        <v>2989</v>
      </c>
      <c r="D926" s="20">
        <f>VLOOKUP(C926,ID!$1:$1048576,4,FALSE)</f>
        <v>104360</v>
      </c>
      <c r="E926" s="20" t="str">
        <f>VLOOKUP(C926,ID!$1:$1048576,3,FALSE)</f>
        <v>MICHELLE</v>
      </c>
      <c r="F926" s="20" t="str">
        <f>VLOOKUP(C926,ID!$1:$1048576,2,FALSE)</f>
        <v>MARTINEZ BRAVO</v>
      </c>
      <c r="G926" s="2" t="e">
        <f>VLOOKUP(D926,CORREOS!$A$2:$B$570,2,FALSE)</f>
        <v>#N/A</v>
      </c>
      <c r="H926" s="24" t="str">
        <f>VLOOKUP(A926,'Informe 2025'!$A$5:$C$164,3,FALSE)</f>
        <v>Manejo de cliente dificil</v>
      </c>
      <c r="I926">
        <f>VLOOKUP(H926,'Informe 2025'!$C$6:$M$166,11,FALSE)</f>
        <v>5</v>
      </c>
    </row>
    <row r="927" spans="1:9" x14ac:dyDescent="0.25">
      <c r="A927" s="2">
        <v>74</v>
      </c>
      <c r="B927" t="str">
        <f>VLOOKUP(A927,'Informe 2025'!$1:$1048576,2,FALSE)</f>
        <v>SEPTIEMBRE</v>
      </c>
      <c r="C927" t="s">
        <v>470</v>
      </c>
      <c r="D927" s="20" t="str">
        <f>VLOOKUP(C927,ID!$1:$1048576,4,FALSE)</f>
        <v>102869</v>
      </c>
      <c r="E927" s="20" t="str">
        <f>VLOOKUP(C927,ID!$1:$1048576,3,FALSE)</f>
        <v xml:space="preserve"> ROCIO BELEN</v>
      </c>
      <c r="F927" s="20" t="str">
        <f>VLOOKUP(C927,ID!$1:$1048576,2,FALSE)</f>
        <v>QUIROZ ROJAS</v>
      </c>
      <c r="G927" s="2" t="str">
        <f>VLOOKUP(D927,CORREOS!$A$2:$B$570,2,FALSE)</f>
        <v>RQUIROZ@CL.LUCKIA.COM</v>
      </c>
      <c r="H927" s="24" t="str">
        <f>VLOOKUP(A927,'Informe 2025'!$A$5:$C$164,3,FALSE)</f>
        <v>Manejo de cliente dificil</v>
      </c>
      <c r="I927">
        <f>VLOOKUP(H927,'Informe 2025'!$C$6:$M$166,11,FALSE)</f>
        <v>5</v>
      </c>
    </row>
    <row r="928" spans="1:9" x14ac:dyDescent="0.25">
      <c r="A928" s="2">
        <v>74</v>
      </c>
      <c r="B928" t="str">
        <f>VLOOKUP(A928,'Informe 2025'!$1:$1048576,2,FALSE)</f>
        <v>SEPTIEMBRE</v>
      </c>
      <c r="C928" t="s">
        <v>387</v>
      </c>
      <c r="D928" s="20" t="str">
        <f>VLOOKUP(C928,ID!$1:$1048576,4,FALSE)</f>
        <v>103008</v>
      </c>
      <c r="E928" s="20" t="str">
        <f>VLOOKUP(C928,ID!$1:$1048576,3,FALSE)</f>
        <v xml:space="preserve"> FLAVIO</v>
      </c>
      <c r="F928" s="20" t="str">
        <f>VLOOKUP(C928,ID!$1:$1048576,2,FALSE)</f>
        <v>INOSTROZA MUÑOZ</v>
      </c>
      <c r="G928" s="2" t="str">
        <f>VLOOKUP(D928,CORREOS!$A$2:$B$570,2,FALSE)</f>
        <v>FINOSTROZA@CL.LUCKIA.COM</v>
      </c>
      <c r="H928" s="24" t="str">
        <f>VLOOKUP(A928,'Informe 2025'!$A$5:$C$164,3,FALSE)</f>
        <v>Manejo de cliente dificil</v>
      </c>
      <c r="I928">
        <f>VLOOKUP(H928,'Informe 2025'!$C$6:$M$166,11,FALSE)</f>
        <v>5</v>
      </c>
    </row>
    <row r="929" spans="1:9" x14ac:dyDescent="0.25">
      <c r="A929" s="2">
        <v>74</v>
      </c>
      <c r="B929" t="str">
        <f>VLOOKUP(A929,'Informe 2025'!$1:$1048576,2,FALSE)</f>
        <v>SEPTIEMBRE</v>
      </c>
      <c r="C929" t="s">
        <v>534</v>
      </c>
      <c r="D929" s="20" t="str">
        <f>VLOOKUP(C929,ID!$1:$1048576,4,FALSE)</f>
        <v>102292</v>
      </c>
      <c r="E929" s="20" t="str">
        <f>VLOOKUP(C929,ID!$1:$1048576,3,FALSE)</f>
        <v xml:space="preserve"> ESKARLETT YUBINZA</v>
      </c>
      <c r="F929" s="20" t="str">
        <f>VLOOKUP(C929,ID!$1:$1048576,2,FALSE)</f>
        <v>ZULETA COLQUE</v>
      </c>
      <c r="G929" s="2" t="str">
        <f>VLOOKUP(D929,CORREOS!$A$2:$B$570,2,FALSE)</f>
        <v>EZCOLQUE@CL.LUCKIA.COM</v>
      </c>
      <c r="H929" s="24" t="str">
        <f>VLOOKUP(A929,'Informe 2025'!$A$5:$C$164,3,FALSE)</f>
        <v>Manejo de cliente dificil</v>
      </c>
      <c r="I929">
        <f>VLOOKUP(H929,'Informe 2025'!$C$6:$M$166,11,FALSE)</f>
        <v>5</v>
      </c>
    </row>
    <row r="930" spans="1:9" x14ac:dyDescent="0.25">
      <c r="A930" s="2">
        <v>74</v>
      </c>
      <c r="B930" t="str">
        <f>VLOOKUP(A930,'Informe 2025'!$1:$1048576,2,FALSE)</f>
        <v>SEPTIEMBRE</v>
      </c>
      <c r="C930" t="s">
        <v>277</v>
      </c>
      <c r="D930" s="20" t="str">
        <f>VLOOKUP(C930,ID!$1:$1048576,4,FALSE)</f>
        <v>102674</v>
      </c>
      <c r="E930" s="20" t="str">
        <f>VLOOKUP(C930,ID!$1:$1048576,3,FALSE)</f>
        <v xml:space="preserve"> BENJAMIN</v>
      </c>
      <c r="F930" s="20" t="str">
        <f>VLOOKUP(C930,ID!$1:$1048576,2,FALSE)</f>
        <v>BARILE MEDINA</v>
      </c>
      <c r="G930" s="2" t="str">
        <f>VLOOKUP(D930,CORREOS!$A$2:$B$570,2,FALSE)</f>
        <v>BBARILE@CL.LUCKIA.COM</v>
      </c>
      <c r="H930" s="24" t="str">
        <f>VLOOKUP(A930,'Informe 2025'!$A$5:$C$164,3,FALSE)</f>
        <v>Manejo de cliente dificil</v>
      </c>
      <c r="I930">
        <f>VLOOKUP(H930,'Informe 2025'!$C$6:$M$166,11,FALSE)</f>
        <v>5</v>
      </c>
    </row>
    <row r="931" spans="1:9" x14ac:dyDescent="0.25">
      <c r="A931" s="2">
        <v>74</v>
      </c>
      <c r="B931" t="str">
        <f>VLOOKUP(A931,'Informe 2025'!$1:$1048576,2,FALSE)</f>
        <v>SEPTIEMBRE</v>
      </c>
      <c r="C931" t="s">
        <v>525</v>
      </c>
      <c r="D931" s="20" t="str">
        <f>VLOOKUP(C931,ID!$1:$1048576,4,FALSE)</f>
        <v>101821</v>
      </c>
      <c r="E931" s="20" t="str">
        <f>VLOOKUP(C931,ID!$1:$1048576,3,FALSE)</f>
        <v xml:space="preserve"> CLAUDIO SEBASTIAN CESAR</v>
      </c>
      <c r="F931" s="20" t="str">
        <f>VLOOKUP(C931,ID!$1:$1048576,2,FALSE)</f>
        <v>VELEZ MUÑOZ</v>
      </c>
      <c r="G931" s="2" t="str">
        <f>VLOOKUP(D931,CORREOS!$A$2:$B$570,2,FALSE)</f>
        <v>CVELEZ@CL.LUCKIA.COM</v>
      </c>
      <c r="H931" s="24" t="str">
        <f>VLOOKUP(A931,'Informe 2025'!$A$5:$C$164,3,FALSE)</f>
        <v>Manejo de cliente dificil</v>
      </c>
      <c r="I931">
        <f>VLOOKUP(H931,'Informe 2025'!$C$6:$M$166,11,FALSE)</f>
        <v>5</v>
      </c>
    </row>
    <row r="932" spans="1:9" x14ac:dyDescent="0.25">
      <c r="A932" s="2">
        <v>74</v>
      </c>
      <c r="B932" t="str">
        <f>VLOOKUP(A932,'Informe 2025'!$1:$1048576,2,FALSE)</f>
        <v>SEPTIEMBRE</v>
      </c>
      <c r="C932" t="s">
        <v>287</v>
      </c>
      <c r="D932" s="20" t="str">
        <f>VLOOKUP(C932,ID!$1:$1048576,4,FALSE)</f>
        <v>101822</v>
      </c>
      <c r="E932" s="20" t="str">
        <f>VLOOKUP(C932,ID!$1:$1048576,3,FALSE)</f>
        <v xml:space="preserve"> ABRAHAM LUIS</v>
      </c>
      <c r="F932" s="20" t="str">
        <f>VLOOKUP(C932,ID!$1:$1048576,2,FALSE)</f>
        <v>CALLE FLORES</v>
      </c>
      <c r="G932" s="2" t="str">
        <f>VLOOKUP(D932,CORREOS!$A$2:$B$570,2,FALSE)</f>
        <v>ACALLE@CL.LUCKIA.COM</v>
      </c>
      <c r="H932" s="24" t="str">
        <f>VLOOKUP(A932,'Informe 2025'!$A$5:$C$164,3,FALSE)</f>
        <v>Manejo de cliente dificil</v>
      </c>
      <c r="I932">
        <f>VLOOKUP(H932,'Informe 2025'!$C$6:$M$166,11,FALSE)</f>
        <v>5</v>
      </c>
    </row>
    <row r="933" spans="1:9" x14ac:dyDescent="0.25">
      <c r="A933" s="2">
        <v>74</v>
      </c>
      <c r="B933" t="str">
        <f>VLOOKUP(A933,'Informe 2025'!$1:$1048576,2,FALSE)</f>
        <v>SEPTIEMBRE</v>
      </c>
      <c r="C933" t="s">
        <v>377</v>
      </c>
      <c r="D933" s="20" t="str">
        <f>VLOOKUP(C933,ID!$1:$1048576,4,FALSE)</f>
        <v>103558</v>
      </c>
      <c r="E933" s="20" t="str">
        <f>VLOOKUP(C933,ID!$1:$1048576,3,FALSE)</f>
        <v xml:space="preserve"> CLAUDIA CAROLINA</v>
      </c>
      <c r="F933" s="20" t="str">
        <f>VLOOKUP(C933,ID!$1:$1048576,2,FALSE)</f>
        <v>GUZMAN VASQUEZ</v>
      </c>
      <c r="G933" s="2" t="str">
        <f>VLOOKUP(D933,CORREOS!$A$2:$B$570,2,FALSE)</f>
        <v>CGUZMAN@CL.LUCKIA.COM</v>
      </c>
      <c r="H933" s="24" t="str">
        <f>VLOOKUP(A933,'Informe 2025'!$A$5:$C$164,3,FALSE)</f>
        <v>Manejo de cliente dificil</v>
      </c>
      <c r="I933">
        <f>VLOOKUP(H933,'Informe 2025'!$C$6:$M$166,11,FALSE)</f>
        <v>5</v>
      </c>
    </row>
    <row r="934" spans="1:9" x14ac:dyDescent="0.25">
      <c r="A934" s="2">
        <v>74</v>
      </c>
      <c r="B934" t="str">
        <f>VLOOKUP(A934,'Informe 2025'!$1:$1048576,2,FALSE)</f>
        <v>SEPTIEMBRE</v>
      </c>
      <c r="C934" t="s">
        <v>250</v>
      </c>
      <c r="D934" s="20" t="str">
        <f>VLOOKUP(C934,ID!$1:$1048576,4,FALSE)</f>
        <v>101377</v>
      </c>
      <c r="E934" s="20" t="str">
        <f>VLOOKUP(C934,ID!$1:$1048576,3,FALSE)</f>
        <v xml:space="preserve"> IGNACIO ANDRES</v>
      </c>
      <c r="F934" s="20" t="str">
        <f>VLOOKUP(C934,ID!$1:$1048576,2,FALSE)</f>
        <v>ALEGRE VILCA</v>
      </c>
      <c r="G934" s="2" t="str">
        <f>VLOOKUP(D934,CORREOS!$A$2:$B$570,2,FALSE)</f>
        <v>IGNACIOANDRES.ALEGRE@CL.LUCKIA.COM</v>
      </c>
      <c r="H934" s="24" t="str">
        <f>VLOOKUP(A934,'Informe 2025'!$A$5:$C$164,3,FALSE)</f>
        <v>Manejo de cliente dificil</v>
      </c>
      <c r="I934">
        <f>VLOOKUP(H934,'Informe 2025'!$C$6:$M$166,11,FALSE)</f>
        <v>5</v>
      </c>
    </row>
    <row r="935" spans="1:9" x14ac:dyDescent="0.25">
      <c r="A935" s="2">
        <v>74</v>
      </c>
      <c r="B935" t="str">
        <f>VLOOKUP(A935,'Informe 2025'!$1:$1048576,2,FALSE)</f>
        <v>SEPTIEMBRE</v>
      </c>
      <c r="C935" t="s">
        <v>493</v>
      </c>
      <c r="D935" s="20" t="str">
        <f>VLOOKUP(C935,ID!$1:$1048576,4,FALSE)</f>
        <v>102704</v>
      </c>
      <c r="E935" s="20" t="str">
        <f>VLOOKUP(C935,ID!$1:$1048576,3,FALSE)</f>
        <v xml:space="preserve"> DIEGO ENRIQUE</v>
      </c>
      <c r="F935" s="20" t="str">
        <f>VLOOKUP(C935,ID!$1:$1048576,2,FALSE)</f>
        <v>SAJAMA CRUZ</v>
      </c>
      <c r="G935" s="2" t="str">
        <f>VLOOKUP(D935,CORREOS!$A$2:$B$570,2,FALSE)</f>
        <v>DSAJAMA@CL.LUCKIA.COM</v>
      </c>
      <c r="H935" s="24" t="str">
        <f>VLOOKUP(A935,'Informe 2025'!$A$5:$C$164,3,FALSE)</f>
        <v>Manejo de cliente dificil</v>
      </c>
      <c r="I935">
        <f>VLOOKUP(H935,'Informe 2025'!$C$6:$M$166,11,FALSE)</f>
        <v>5</v>
      </c>
    </row>
    <row r="936" spans="1:9" x14ac:dyDescent="0.25">
      <c r="A936" s="2">
        <v>74</v>
      </c>
      <c r="B936" t="str">
        <f>VLOOKUP(A936,'Informe 2025'!$1:$1048576,2,FALSE)</f>
        <v>SEPTIEMBRE</v>
      </c>
      <c r="C936" t="s">
        <v>285</v>
      </c>
      <c r="D936" s="20" t="str">
        <f>VLOOKUP(C936,ID!$1:$1048576,4,FALSE)</f>
        <v>102599</v>
      </c>
      <c r="E936" s="20" t="str">
        <f>VLOOKUP(C936,ID!$1:$1048576,3,FALSE)</f>
        <v xml:space="preserve"> EMILIO SEBASTIAN</v>
      </c>
      <c r="F936" s="20" t="str">
        <f>VLOOKUP(C936,ID!$1:$1048576,2,FALSE)</f>
        <v>CACERES GAJARDO</v>
      </c>
      <c r="G936" s="2" t="str">
        <f>VLOOKUP(D936,CORREOS!$A$2:$B$570,2,FALSE)</f>
        <v>ECACERES@CL.LUCKIA.COM</v>
      </c>
      <c r="H936" s="24" t="str">
        <f>VLOOKUP(A936,'Informe 2025'!$A$5:$C$164,3,FALSE)</f>
        <v>Manejo de cliente dificil</v>
      </c>
      <c r="I936">
        <f>VLOOKUP(H936,'Informe 2025'!$C$6:$M$166,11,FALSE)</f>
        <v>5</v>
      </c>
    </row>
    <row r="937" spans="1:9" x14ac:dyDescent="0.25">
      <c r="A937" s="2">
        <v>74</v>
      </c>
      <c r="B937" t="str">
        <f>VLOOKUP(A937,'Informe 2025'!$1:$1048576,2,FALSE)</f>
        <v>SEPTIEMBRE</v>
      </c>
      <c r="C937" t="s">
        <v>481</v>
      </c>
      <c r="D937" s="20" t="str">
        <f>VLOOKUP(C937,ID!$1:$1048576,4,FALSE)</f>
        <v>101689</v>
      </c>
      <c r="E937" s="20" t="str">
        <f>VLOOKUP(C937,ID!$1:$1048576,3,FALSE)</f>
        <v xml:space="preserve"> LUIS ESTEBAN</v>
      </c>
      <c r="F937" s="20" t="str">
        <f>VLOOKUP(C937,ID!$1:$1048576,2,FALSE)</f>
        <v>RIVERA ALTAMIRANO</v>
      </c>
      <c r="G937" s="2" t="str">
        <f>VLOOKUP(D937,CORREOS!$A$2:$B$570,2,FALSE)</f>
        <v>LUISESTEBAN.RIVERA@CL.LUCKIA.COM</v>
      </c>
      <c r="H937" s="24" t="str">
        <f>VLOOKUP(A937,'Informe 2025'!$A$5:$C$164,3,FALSE)</f>
        <v>Manejo de cliente dificil</v>
      </c>
      <c r="I937">
        <f>VLOOKUP(H937,'Informe 2025'!$C$6:$M$166,11,FALSE)</f>
        <v>5</v>
      </c>
    </row>
    <row r="938" spans="1:9" x14ac:dyDescent="0.25">
      <c r="A938" s="2">
        <v>74</v>
      </c>
      <c r="B938" t="str">
        <f>VLOOKUP(A938,'Informe 2025'!$1:$1048576,2,FALSE)</f>
        <v>SEPTIEMBRE</v>
      </c>
      <c r="C938" t="s">
        <v>465</v>
      </c>
      <c r="D938" s="20" t="str">
        <f>VLOOKUP(C938,ID!$1:$1048576,4,FALSE)</f>
        <v>103311</v>
      </c>
      <c r="E938" s="20" t="str">
        <f>VLOOKUP(C938,ID!$1:$1048576,3,FALSE)</f>
        <v xml:space="preserve"> JOHNNY ALEXANDER</v>
      </c>
      <c r="F938" s="20" t="str">
        <f>VLOOKUP(C938,ID!$1:$1048576,2,FALSE)</f>
        <v>PIÑONES RODENAS</v>
      </c>
      <c r="G938" s="2" t="str">
        <f>VLOOKUP(D938,CORREOS!$A$2:$B$570,2,FALSE)</f>
        <v>JPINONES@CL.LUCKIA.COM</v>
      </c>
      <c r="H938" s="24" t="str">
        <f>VLOOKUP(A938,'Informe 2025'!$A$5:$C$164,3,FALSE)</f>
        <v>Manejo de cliente dificil</v>
      </c>
      <c r="I938">
        <f>VLOOKUP(H938,'Informe 2025'!$C$6:$M$166,11,FALSE)</f>
        <v>5</v>
      </c>
    </row>
    <row r="939" spans="1:9" x14ac:dyDescent="0.25">
      <c r="A939" s="2">
        <v>74</v>
      </c>
      <c r="B939" t="str">
        <f>VLOOKUP(A939,'Informe 2025'!$1:$1048576,2,FALSE)</f>
        <v>SEPTIEMBRE</v>
      </c>
      <c r="C939" t="s">
        <v>498</v>
      </c>
      <c r="D939" s="20" t="str">
        <f>VLOOKUP(C939,ID!$1:$1048576,4,FALSE)</f>
        <v>101825</v>
      </c>
      <c r="E939" s="20" t="str">
        <f>VLOOKUP(C939,ID!$1:$1048576,3,FALSE)</f>
        <v xml:space="preserve"> GISSELA ANDREA</v>
      </c>
      <c r="F939" s="20" t="str">
        <f>VLOOKUP(C939,ID!$1:$1048576,2,FALSE)</f>
        <v>SANCHEZ QUISPE</v>
      </c>
      <c r="G939" s="2" t="str">
        <f>VLOOKUP(D939,CORREOS!$A$2:$B$570,2,FALSE)</f>
        <v>GSQUISPE@CL.LUCKIA.COM</v>
      </c>
      <c r="H939" s="24" t="str">
        <f>VLOOKUP(A939,'Informe 2025'!$A$5:$C$164,3,FALSE)</f>
        <v>Manejo de cliente dificil</v>
      </c>
      <c r="I939">
        <f>VLOOKUP(H939,'Informe 2025'!$C$6:$M$166,11,FALSE)</f>
        <v>5</v>
      </c>
    </row>
    <row r="940" spans="1:9" x14ac:dyDescent="0.25">
      <c r="A940" s="2">
        <v>74</v>
      </c>
      <c r="B940" t="str">
        <f>VLOOKUP(A940,'Informe 2025'!$1:$1048576,2,FALSE)</f>
        <v>SEPTIEMBRE</v>
      </c>
      <c r="C940" t="s">
        <v>327</v>
      </c>
      <c r="D940" s="20" t="str">
        <f>VLOOKUP(C940,ID!$1:$1048576,4,FALSE)</f>
        <v>103301</v>
      </c>
      <c r="E940" s="20" t="str">
        <f>VLOOKUP(C940,ID!$1:$1048576,3,FALSE)</f>
        <v xml:space="preserve"> ISABEL CAMILA</v>
      </c>
      <c r="F940" s="20" t="str">
        <f>VLOOKUP(C940,ID!$1:$1048576,2,FALSE)</f>
        <v>DAVILA VILLENA</v>
      </c>
      <c r="G940" s="2" t="str">
        <f>VLOOKUP(D940,CORREOS!$A$2:$B$570,2,FALSE)</f>
        <v>IDAVILA@CL.LUCKIA.COM</v>
      </c>
      <c r="H940" s="24" t="str">
        <f>VLOOKUP(A940,'Informe 2025'!$A$5:$C$164,3,FALSE)</f>
        <v>Manejo de cliente dificil</v>
      </c>
      <c r="I940">
        <f>VLOOKUP(H940,'Informe 2025'!$C$6:$M$166,11,FALSE)</f>
        <v>5</v>
      </c>
    </row>
    <row r="941" spans="1:9" x14ac:dyDescent="0.25">
      <c r="A941" s="2">
        <v>74</v>
      </c>
      <c r="B941" t="str">
        <f>VLOOKUP(A941,'Informe 2025'!$1:$1048576,2,FALSE)</f>
        <v>SEPTIEMBRE</v>
      </c>
      <c r="C941" s="25" t="s">
        <v>239</v>
      </c>
      <c r="D941" s="20" t="str">
        <f>VLOOKUP(C941,ID!$1:$1048576,4,FALSE)</f>
        <v>103053</v>
      </c>
      <c r="E941" s="20" t="str">
        <f>VLOOKUP(C941,ID!$1:$1048576,3,FALSE)</f>
        <v xml:space="preserve"> VALENTINA</v>
      </c>
      <c r="F941" s="20" t="str">
        <f>VLOOKUP(C941,ID!$1:$1048576,2,FALSE)</f>
        <v>AGUILAR FERNANDEZ</v>
      </c>
      <c r="G941" s="2" t="str">
        <f>VLOOKUP(D941,CORREOS!$A$2:$B$570,2,FALSE)</f>
        <v>VAFERNANDEZ@CL.LUCKIA.COM</v>
      </c>
      <c r="H941" s="24" t="str">
        <f>VLOOKUP(A941,'Informe 2025'!$A$5:$C$164,3,FALSE)</f>
        <v>Manejo de cliente dificil</v>
      </c>
      <c r="I941">
        <f>VLOOKUP(H941,'Informe 2025'!$C$6:$M$166,11,FALSE)</f>
        <v>5</v>
      </c>
    </row>
    <row r="942" spans="1:9" x14ac:dyDescent="0.25">
      <c r="A942" s="2">
        <v>74</v>
      </c>
      <c r="B942" t="str">
        <f>VLOOKUP(A942,'Informe 2025'!$1:$1048576,2,FALSE)</f>
        <v>SEPTIEMBRE</v>
      </c>
      <c r="C942" t="s">
        <v>331</v>
      </c>
      <c r="D942" s="20" t="str">
        <f>VLOOKUP(C942,ID!$1:$1048576,4,FALSE)</f>
        <v>102895</v>
      </c>
      <c r="E942" s="20" t="str">
        <f>VLOOKUP(C942,ID!$1:$1048576,3,FALSE)</f>
        <v xml:space="preserve"> LILIAN ALEXANDRA</v>
      </c>
      <c r="F942" s="20" t="str">
        <f>VLOOKUP(C942,ID!$1:$1048576,2,FALSE)</f>
        <v>DELZO ALTAMIRANO</v>
      </c>
      <c r="G942" s="2" t="str">
        <f>VLOOKUP(D942,CORREOS!$A$2:$B$570,2,FALSE)</f>
        <v>LDELZO@CL.LUCKIA.COM</v>
      </c>
      <c r="H942" s="24" t="str">
        <f>VLOOKUP(A942,'Informe 2025'!$A$5:$C$164,3,FALSE)</f>
        <v>Manejo de cliente dificil</v>
      </c>
      <c r="I942">
        <f>VLOOKUP(H942,'Informe 2025'!$C$6:$M$166,11,FALSE)</f>
        <v>5</v>
      </c>
    </row>
    <row r="943" spans="1:9" x14ac:dyDescent="0.25">
      <c r="A943" s="2">
        <v>75</v>
      </c>
      <c r="B943" t="str">
        <f>VLOOKUP(A943,'Informe 2025'!$1:$1048576,2,FALSE)</f>
        <v>SEPTIEMBRE</v>
      </c>
      <c r="C943" t="s">
        <v>243</v>
      </c>
      <c r="D943" s="20" t="str">
        <f>VLOOKUP(C943,ID!$1:$1048576,4,FALSE)</f>
        <v>100348</v>
      </c>
      <c r="E943" s="20" t="str">
        <f>VLOOKUP(C943,ID!$1:$1048576,3,FALSE)</f>
        <v xml:space="preserve"> FATIMA JUDITH</v>
      </c>
      <c r="F943" s="20" t="str">
        <f>VLOOKUP(C943,ID!$1:$1048576,2,FALSE)</f>
        <v>AGUIRRE ESPINOZA</v>
      </c>
      <c r="G943" s="2" t="str">
        <f>VLOOKUP(D943,CORREOS!$A$2:$B$570,2,FALSE)</f>
        <v>JUDITH.AGUIRRE@CL.LUCKIA.COM</v>
      </c>
      <c r="H943" s="24" t="str">
        <f>VLOOKUP(A943,'Informe 2025'!$A$5:$C$164,3,FALSE)</f>
        <v>Lenguaje no Verbal</v>
      </c>
      <c r="I943">
        <f>VLOOKUP(H943,'Informe 2025'!$C$6:$M$166,11,FALSE)</f>
        <v>4</v>
      </c>
    </row>
    <row r="944" spans="1:9" x14ac:dyDescent="0.25">
      <c r="A944" s="2">
        <v>75</v>
      </c>
      <c r="B944" t="str">
        <f>VLOOKUP(A944,'Informe 2025'!$1:$1048576,2,FALSE)</f>
        <v>SEPTIEMBRE</v>
      </c>
      <c r="C944" t="s">
        <v>303</v>
      </c>
      <c r="D944" s="20" t="str">
        <f>VLOOKUP(C944,ID!$1:$1048576,4,FALSE)</f>
        <v>102829</v>
      </c>
      <c r="E944" s="20" t="str">
        <f>VLOOKUP(C944,ID!$1:$1048576,3,FALSE)</f>
        <v xml:space="preserve"> WILSON DENNIS</v>
      </c>
      <c r="F944" s="20" t="str">
        <f>VLOOKUP(C944,ID!$1:$1048576,2,FALSE)</f>
        <v>CASTILLO PEREZ</v>
      </c>
      <c r="G944" s="2" t="str">
        <f>VLOOKUP(D944,CORREOS!$A$2:$B$570,2,FALSE)</f>
        <v>WCASTILLO@CL.LUCKIA.COM</v>
      </c>
      <c r="H944" s="24" t="str">
        <f>VLOOKUP(A944,'Informe 2025'!$A$5:$C$164,3,FALSE)</f>
        <v>Lenguaje no Verbal</v>
      </c>
      <c r="I944">
        <f>VLOOKUP(H944,'Informe 2025'!$C$6:$M$166,11,FALSE)</f>
        <v>4</v>
      </c>
    </row>
    <row r="945" spans="1:9" x14ac:dyDescent="0.25">
      <c r="A945" s="2">
        <v>75</v>
      </c>
      <c r="B945" t="str">
        <f>VLOOKUP(A945,'Informe 2025'!$1:$1048576,2,FALSE)</f>
        <v>SEPTIEMBRE</v>
      </c>
      <c r="C945" t="s">
        <v>493</v>
      </c>
      <c r="D945" s="20" t="str">
        <f>VLOOKUP(C945,ID!$1:$1048576,4,FALSE)</f>
        <v>102704</v>
      </c>
      <c r="E945" s="20" t="str">
        <f>VLOOKUP(C945,ID!$1:$1048576,3,FALSE)</f>
        <v xml:space="preserve"> DIEGO ENRIQUE</v>
      </c>
      <c r="F945" s="20" t="str">
        <f>VLOOKUP(C945,ID!$1:$1048576,2,FALSE)</f>
        <v>SAJAMA CRUZ</v>
      </c>
      <c r="G945" s="2" t="str">
        <f>VLOOKUP(D945,CORREOS!$A$2:$B$570,2,FALSE)</f>
        <v>DSAJAMA@CL.LUCKIA.COM</v>
      </c>
      <c r="H945" s="24" t="str">
        <f>VLOOKUP(A945,'Informe 2025'!$A$5:$C$164,3,FALSE)</f>
        <v>Lenguaje no Verbal</v>
      </c>
      <c r="I945">
        <f>VLOOKUP(H945,'Informe 2025'!$C$6:$M$166,11,FALSE)</f>
        <v>4</v>
      </c>
    </row>
    <row r="946" spans="1:9" x14ac:dyDescent="0.25">
      <c r="A946" s="2">
        <v>75</v>
      </c>
      <c r="B946" t="str">
        <f>VLOOKUP(A946,'Informe 2025'!$1:$1048576,2,FALSE)</f>
        <v>SEPTIEMBRE</v>
      </c>
      <c r="C946" t="s">
        <v>251</v>
      </c>
      <c r="D946" s="20" t="str">
        <f>VLOOKUP(C946,ID!$1:$1048576,4,FALSE)</f>
        <v>102611</v>
      </c>
      <c r="E946" s="20" t="str">
        <f>VLOOKUP(C946,ID!$1:$1048576,3,FALSE)</f>
        <v xml:space="preserve"> DIEGO ALEXIS</v>
      </c>
      <c r="F946" s="20" t="str">
        <f>VLOOKUP(C946,ID!$1:$1048576,2,FALSE)</f>
        <v>ALID ALID</v>
      </c>
      <c r="G946" s="2" t="str">
        <f>VLOOKUP(D946,CORREOS!$A$2:$B$570,2,FALSE)</f>
        <v>DALID@ANTAYHOTELES.CL</v>
      </c>
      <c r="H946" s="24" t="str">
        <f>VLOOKUP(A946,'Informe 2025'!$A$5:$C$164,3,FALSE)</f>
        <v>Lenguaje no Verbal</v>
      </c>
      <c r="I946">
        <f>VLOOKUP(H946,'Informe 2025'!$C$6:$M$166,11,FALSE)</f>
        <v>4</v>
      </c>
    </row>
    <row r="947" spans="1:9" x14ac:dyDescent="0.25">
      <c r="A947" s="2">
        <v>75</v>
      </c>
      <c r="B947" t="str">
        <f>VLOOKUP(A947,'Informe 2025'!$1:$1048576,2,FALSE)</f>
        <v>SEPTIEMBRE</v>
      </c>
      <c r="C947" t="s">
        <v>414</v>
      </c>
      <c r="D947" s="20" t="str">
        <f>VLOOKUP(C947,ID!$1:$1048576,4,FALSE)</f>
        <v>102342</v>
      </c>
      <c r="E947" s="20" t="str">
        <f>VLOOKUP(C947,ID!$1:$1048576,3,FALSE)</f>
        <v xml:space="preserve"> NICOLAS YENARO</v>
      </c>
      <c r="F947" s="20" t="str">
        <f>VLOOKUP(C947,ID!$1:$1048576,2,FALSE)</f>
        <v>MEJIAS MENESES</v>
      </c>
      <c r="G947" s="2" t="str">
        <f>VLOOKUP(D947,CORREOS!$A$2:$B$570,2,FALSE)</f>
        <v>NMEJIAS@CL.LUCKIA.COM</v>
      </c>
      <c r="H947" s="24" t="str">
        <f>VLOOKUP(A947,'Informe 2025'!$A$5:$C$164,3,FALSE)</f>
        <v>Lenguaje no Verbal</v>
      </c>
      <c r="I947">
        <f>VLOOKUP(H947,'Informe 2025'!$C$6:$M$166,11,FALSE)</f>
        <v>4</v>
      </c>
    </row>
    <row r="948" spans="1:9" x14ac:dyDescent="0.25">
      <c r="A948" s="2">
        <v>75</v>
      </c>
      <c r="B948" t="str">
        <f>VLOOKUP(A948,'Informe 2025'!$1:$1048576,2,FALSE)</f>
        <v>SEPTIEMBRE</v>
      </c>
      <c r="C948" t="s">
        <v>285</v>
      </c>
      <c r="D948" s="20" t="str">
        <f>VLOOKUP(C948,ID!$1:$1048576,4,FALSE)</f>
        <v>102599</v>
      </c>
      <c r="E948" s="20" t="str">
        <f>VLOOKUP(C948,ID!$1:$1048576,3,FALSE)</f>
        <v xml:space="preserve"> EMILIO SEBASTIAN</v>
      </c>
      <c r="F948" s="20" t="str">
        <f>VLOOKUP(C948,ID!$1:$1048576,2,FALSE)</f>
        <v>CACERES GAJARDO</v>
      </c>
      <c r="G948" s="2" t="str">
        <f>VLOOKUP(D948,CORREOS!$A$2:$B$570,2,FALSE)</f>
        <v>ECACERES@CL.LUCKIA.COM</v>
      </c>
      <c r="H948" s="24" t="str">
        <f>VLOOKUP(A948,'Informe 2025'!$A$5:$C$164,3,FALSE)</f>
        <v>Lenguaje no Verbal</v>
      </c>
      <c r="I948">
        <f>VLOOKUP(H948,'Informe 2025'!$C$6:$M$166,11,FALSE)</f>
        <v>4</v>
      </c>
    </row>
    <row r="949" spans="1:9" x14ac:dyDescent="0.25">
      <c r="A949" s="2">
        <v>75</v>
      </c>
      <c r="B949" t="str">
        <f>VLOOKUP(A949,'Informe 2025'!$1:$1048576,2,FALSE)</f>
        <v>SEPTIEMBRE</v>
      </c>
      <c r="C949" t="s">
        <v>460</v>
      </c>
      <c r="D949" s="20" t="str">
        <f>VLOOKUP(C949,ID!$1:$1048576,4,FALSE)</f>
        <v>101402</v>
      </c>
      <c r="E949" s="20" t="str">
        <f>VLOOKUP(C949,ID!$1:$1048576,3,FALSE)</f>
        <v xml:space="preserve"> ALVARO ANTONIO</v>
      </c>
      <c r="F949" s="20" t="str">
        <f>VLOOKUP(C949,ID!$1:$1048576,2,FALSE)</f>
        <v>PEREZ SALAZAR</v>
      </c>
      <c r="G949" s="2" t="str">
        <f>VLOOKUP(D949,CORREOS!$A$2:$B$570,2,FALSE)</f>
        <v>ALVAROANTONIO.PEREZ@CL.LUCKIA.COM</v>
      </c>
      <c r="H949" s="24" t="str">
        <f>VLOOKUP(A949,'Informe 2025'!$A$5:$C$164,3,FALSE)</f>
        <v>Lenguaje no Verbal</v>
      </c>
      <c r="I949">
        <f>VLOOKUP(H949,'Informe 2025'!$C$6:$M$166,11,FALSE)</f>
        <v>4</v>
      </c>
    </row>
    <row r="950" spans="1:9" x14ac:dyDescent="0.25">
      <c r="A950" s="2">
        <v>75</v>
      </c>
      <c r="B950" t="str">
        <f>VLOOKUP(A950,'Informe 2025'!$1:$1048576,2,FALSE)</f>
        <v>SEPTIEMBRE</v>
      </c>
      <c r="C950" t="s">
        <v>386</v>
      </c>
      <c r="D950" s="20" t="str">
        <f>VLOOKUP(C950,ID!$1:$1048576,4,FALSE)</f>
        <v>101375</v>
      </c>
      <c r="E950" s="20" t="str">
        <f>VLOOKUP(C950,ID!$1:$1048576,3,FALSE)</f>
        <v xml:space="preserve"> ALLIZON DANIELA</v>
      </c>
      <c r="F950" s="20" t="str">
        <f>VLOOKUP(C950,ID!$1:$1048576,2,FALSE)</f>
        <v>HUERTA VASQUEZ</v>
      </c>
      <c r="G950" s="2" t="str">
        <f>VLOOKUP(D950,CORREOS!$A$2:$B$570,2,FALSE)</f>
        <v>DHUERTA@CL.LUCKIA.COM</v>
      </c>
      <c r="H950" s="24" t="str">
        <f>VLOOKUP(A950,'Informe 2025'!$A$5:$C$164,3,FALSE)</f>
        <v>Lenguaje no Verbal</v>
      </c>
      <c r="I950">
        <f>VLOOKUP(H950,'Informe 2025'!$C$6:$M$166,11,FALSE)</f>
        <v>4</v>
      </c>
    </row>
    <row r="951" spans="1:9" x14ac:dyDescent="0.25">
      <c r="A951" s="2">
        <v>75</v>
      </c>
      <c r="B951" t="str">
        <f>VLOOKUP(A951,'Informe 2025'!$1:$1048576,2,FALSE)</f>
        <v>SEPTIEMBRE</v>
      </c>
      <c r="C951" t="s">
        <v>302</v>
      </c>
      <c r="D951" s="20" t="str">
        <f>VLOOKUP(C951,ID!$1:$1048576,4,FALSE)</f>
        <v>101455</v>
      </c>
      <c r="E951" s="20" t="str">
        <f>VLOOKUP(C951,ID!$1:$1048576,3,FALSE)</f>
        <v xml:space="preserve"> PAULINA HELGA</v>
      </c>
      <c r="F951" s="20" t="str">
        <f>VLOOKUP(C951,ID!$1:$1048576,2,FALSE)</f>
        <v>CASTILLO MORALES</v>
      </c>
      <c r="G951" s="2" t="str">
        <f>VLOOKUP(D951,CORREOS!$A$2:$B$570,2,FALSE)</f>
        <v>PAULINAHELGA.CASTILLO@CL.LUCKIA.COM</v>
      </c>
      <c r="H951" s="24" t="str">
        <f>VLOOKUP(A951,'Informe 2025'!$A$5:$C$164,3,FALSE)</f>
        <v>Lenguaje no Verbal</v>
      </c>
      <c r="I951">
        <f>VLOOKUP(H951,'Informe 2025'!$C$6:$M$166,11,FALSE)</f>
        <v>4</v>
      </c>
    </row>
    <row r="952" spans="1:9" x14ac:dyDescent="0.25">
      <c r="A952" s="2">
        <v>75</v>
      </c>
      <c r="B952" t="str">
        <f>VLOOKUP(A952,'Informe 2025'!$1:$1048576,2,FALSE)</f>
        <v>SEPTIEMBRE</v>
      </c>
      <c r="C952" t="s">
        <v>371</v>
      </c>
      <c r="D952" s="20" t="str">
        <f>VLOOKUP(C952,ID!$1:$1048576,4,FALSE)</f>
        <v>101456</v>
      </c>
      <c r="E952" s="20" t="str">
        <f>VLOOKUP(C952,ID!$1:$1048576,3,FALSE)</f>
        <v xml:space="preserve"> MARIA JOSE</v>
      </c>
      <c r="F952" s="20" t="str">
        <f>VLOOKUP(C952,ID!$1:$1048576,2,FALSE)</f>
        <v>GONZALEZ MEDINA</v>
      </c>
      <c r="G952" s="2" t="str">
        <f>VLOOKUP(D952,CORREOS!$A$2:$B$570,2,FALSE)</f>
        <v>MGMEDINA@CL.LUCKIA.COM</v>
      </c>
      <c r="H952" s="24" t="str">
        <f>VLOOKUP(A952,'Informe 2025'!$A$5:$C$164,3,FALSE)</f>
        <v>Lenguaje no Verbal</v>
      </c>
      <c r="I952">
        <f>VLOOKUP(H952,'Informe 2025'!$C$6:$M$166,11,FALSE)</f>
        <v>4</v>
      </c>
    </row>
    <row r="953" spans="1:9" x14ac:dyDescent="0.25">
      <c r="A953" s="2">
        <v>75</v>
      </c>
      <c r="B953" t="str">
        <f>VLOOKUP(A953,'Informe 2025'!$1:$1048576,2,FALSE)</f>
        <v>SEPTIEMBRE</v>
      </c>
      <c r="C953" t="s">
        <v>529</v>
      </c>
      <c r="D953" s="20" t="str">
        <f>VLOOKUP(C953,ID!$1:$1048576,4,FALSE)</f>
        <v>101682</v>
      </c>
      <c r="E953" s="20" t="str">
        <f>VLOOKUP(C953,ID!$1:$1048576,3,FALSE)</f>
        <v xml:space="preserve"> ALVARO GUILLERMO</v>
      </c>
      <c r="F953" s="20" t="str">
        <f>VLOOKUP(C953,ID!$1:$1048576,2,FALSE)</f>
        <v>VIDAL RAMIREZ</v>
      </c>
      <c r="G953" s="2" t="str">
        <f>VLOOKUP(D953,CORREOS!$A$2:$B$570,2,FALSE)</f>
        <v>ALVAROGUILLERMO.VIDAL@CL.LUCKIA.COM</v>
      </c>
      <c r="H953" s="24" t="str">
        <f>VLOOKUP(A953,'Informe 2025'!$A$5:$C$164,3,FALSE)</f>
        <v>Lenguaje no Verbal</v>
      </c>
      <c r="I953">
        <f>VLOOKUP(H953,'Informe 2025'!$C$6:$M$166,11,FALSE)</f>
        <v>4</v>
      </c>
    </row>
    <row r="954" spans="1:9" x14ac:dyDescent="0.25">
      <c r="A954" s="2">
        <v>75</v>
      </c>
      <c r="B954" t="str">
        <f>VLOOKUP(A954,'Informe 2025'!$1:$1048576,2,FALSE)</f>
        <v>SEPTIEMBRE</v>
      </c>
      <c r="C954" t="s">
        <v>383</v>
      </c>
      <c r="D954" s="20" t="str">
        <f>VLOOKUP(C954,ID!$1:$1048576,4,FALSE)</f>
        <v>101680</v>
      </c>
      <c r="E954" s="20" t="str">
        <f>VLOOKUP(C954,ID!$1:$1048576,3,FALSE)</f>
        <v xml:space="preserve"> LEONEL ALEXIS</v>
      </c>
      <c r="F954" s="20" t="str">
        <f>VLOOKUP(C954,ID!$1:$1048576,2,FALSE)</f>
        <v>HERRERA HINOJOSA</v>
      </c>
      <c r="G954" s="2" t="str">
        <f>VLOOKUP(D954,CORREOS!$A$2:$B$570,2,FALSE)</f>
        <v>LEONELALEXIS.HERRERA@CL.LUCKIA.COM</v>
      </c>
      <c r="H954" s="24" t="str">
        <f>VLOOKUP(A954,'Informe 2025'!$A$5:$C$164,3,FALSE)</f>
        <v>Lenguaje no Verbal</v>
      </c>
      <c r="I954">
        <f>VLOOKUP(H954,'Informe 2025'!$C$6:$M$166,11,FALSE)</f>
        <v>4</v>
      </c>
    </row>
    <row r="955" spans="1:9" x14ac:dyDescent="0.25">
      <c r="A955" s="2">
        <v>75</v>
      </c>
      <c r="B955" t="str">
        <f>VLOOKUP(A955,'Informe 2025'!$1:$1048576,2,FALSE)</f>
        <v>SEPTIEMBRE</v>
      </c>
      <c r="C955" t="s">
        <v>525</v>
      </c>
      <c r="D955" s="20" t="str">
        <f>VLOOKUP(C955,ID!$1:$1048576,4,FALSE)</f>
        <v>101821</v>
      </c>
      <c r="E955" s="20" t="str">
        <f>VLOOKUP(C955,ID!$1:$1048576,3,FALSE)</f>
        <v xml:space="preserve"> CLAUDIO SEBASTIAN CESAR</v>
      </c>
      <c r="F955" s="20" t="str">
        <f>VLOOKUP(C955,ID!$1:$1048576,2,FALSE)</f>
        <v>VELEZ MUÑOZ</v>
      </c>
      <c r="G955" s="2" t="str">
        <f>VLOOKUP(D955,CORREOS!$A$2:$B$570,2,FALSE)</f>
        <v>CVELEZ@CL.LUCKIA.COM</v>
      </c>
      <c r="H955" s="24" t="str">
        <f>VLOOKUP(A955,'Informe 2025'!$A$5:$C$164,3,FALSE)</f>
        <v>Lenguaje no Verbal</v>
      </c>
      <c r="I955">
        <f>VLOOKUP(H955,'Informe 2025'!$C$6:$M$166,11,FALSE)</f>
        <v>4</v>
      </c>
    </row>
    <row r="956" spans="1:9" x14ac:dyDescent="0.25">
      <c r="A956" s="2">
        <v>75</v>
      </c>
      <c r="B956" t="str">
        <f>VLOOKUP(A956,'Informe 2025'!$1:$1048576,2,FALSE)</f>
        <v>SEPTIEMBRE</v>
      </c>
      <c r="C956" t="s">
        <v>273</v>
      </c>
      <c r="D956" s="20" t="str">
        <f>VLOOKUP(C956,ID!$1:$1048576,4,FALSE)</f>
        <v>101363</v>
      </c>
      <c r="E956" s="20" t="str">
        <f>VLOOKUP(C956,ID!$1:$1048576,3,FALSE)</f>
        <v xml:space="preserve"> AGUSTIN ROGER</v>
      </c>
      <c r="F956" s="20" t="str">
        <f>VLOOKUP(C956,ID!$1:$1048576,2,FALSE)</f>
        <v>ARREDONDO ORTEGA</v>
      </c>
      <c r="G956" s="2" t="str">
        <f>VLOOKUP(D956,CORREOS!$A$2:$B$570,2,FALSE)</f>
        <v>AGUSTINROGER.ARREDONDO@CL.LUCKIA.COM</v>
      </c>
      <c r="H956" s="24" t="str">
        <f>VLOOKUP(A956,'Informe 2025'!$A$5:$C$164,3,FALSE)</f>
        <v>Lenguaje no Verbal</v>
      </c>
      <c r="I956">
        <f>VLOOKUP(H956,'Informe 2025'!$C$6:$M$166,11,FALSE)</f>
        <v>4</v>
      </c>
    </row>
    <row r="957" spans="1:9" x14ac:dyDescent="0.25">
      <c r="A957" s="2">
        <v>75</v>
      </c>
      <c r="B957" t="str">
        <f>VLOOKUP(A957,'Informe 2025'!$1:$1048576,2,FALSE)</f>
        <v>SEPTIEMBRE</v>
      </c>
      <c r="C957" t="s">
        <v>357</v>
      </c>
      <c r="D957" s="20" t="str">
        <f>VLOOKUP(C957,ID!$1:$1048576,4,FALSE)</f>
        <v>101517</v>
      </c>
      <c r="E957" s="20" t="str">
        <f>VLOOKUP(C957,ID!$1:$1048576,3,FALSE)</f>
        <v xml:space="preserve"> VICTOR ALEJANDRO</v>
      </c>
      <c r="F957" s="20" t="str">
        <f>VLOOKUP(C957,ID!$1:$1048576,2,FALSE)</f>
        <v>GATICA ELIAS</v>
      </c>
      <c r="G957" s="2" t="str">
        <f>VLOOKUP(D957,CORREOS!$A$2:$B$570,2,FALSE)</f>
        <v>VICTORALEJANDRO.GATICA@CL.LUCKIA.COM</v>
      </c>
      <c r="H957" s="24" t="str">
        <f>VLOOKUP(A957,'Informe 2025'!$A$5:$C$164,3,FALSE)</f>
        <v>Lenguaje no Verbal</v>
      </c>
      <c r="I957">
        <f>VLOOKUP(H957,'Informe 2025'!$C$6:$M$166,11,FALSE)</f>
        <v>4</v>
      </c>
    </row>
    <row r="958" spans="1:9" x14ac:dyDescent="0.25">
      <c r="A958" s="2">
        <v>75</v>
      </c>
      <c r="B958" t="str">
        <f>VLOOKUP(A958,'Informe 2025'!$1:$1048576,2,FALSE)</f>
        <v>SEPTIEMBRE</v>
      </c>
      <c r="C958" t="s">
        <v>290</v>
      </c>
      <c r="D958" s="20" t="str">
        <f>VLOOKUP(C958,ID!$1:$1048576,4,FALSE)</f>
        <v>101522</v>
      </c>
      <c r="E958" s="20" t="str">
        <f>VLOOKUP(C958,ID!$1:$1048576,3,FALSE)</f>
        <v xml:space="preserve"> ADAN MOISES</v>
      </c>
      <c r="F958" s="20" t="str">
        <f>VLOOKUP(C958,ID!$1:$1048576,2,FALSE)</f>
        <v>CARRASCO ANABALON</v>
      </c>
      <c r="G958" s="2" t="str">
        <f>VLOOKUP(D958,CORREOS!$A$2:$B$570,2,FALSE)</f>
        <v>ADANMOISES.CARRASCO@CL.LUCKIA.COM</v>
      </c>
      <c r="H958" s="24" t="str">
        <f>VLOOKUP(A958,'Informe 2025'!$A$5:$C$164,3,FALSE)</f>
        <v>Lenguaje no Verbal</v>
      </c>
      <c r="I958">
        <f>VLOOKUP(H958,'Informe 2025'!$C$6:$M$166,11,FALSE)</f>
        <v>4</v>
      </c>
    </row>
    <row r="959" spans="1:9" x14ac:dyDescent="0.25">
      <c r="A959" s="2">
        <v>75</v>
      </c>
      <c r="B959" t="str">
        <f>VLOOKUP(A959,'Informe 2025'!$1:$1048576,2,FALSE)</f>
        <v>SEPTIEMBRE</v>
      </c>
      <c r="C959" t="s">
        <v>312</v>
      </c>
      <c r="D959" s="20" t="str">
        <f>VLOOKUP(C959,ID!$1:$1048576,4,FALSE)</f>
        <v>102755</v>
      </c>
      <c r="E959" s="20" t="str">
        <f>VLOOKUP(C959,ID!$1:$1048576,3,FALSE)</f>
        <v xml:space="preserve"> LEONARDO ALEXIS</v>
      </c>
      <c r="F959" s="20" t="str">
        <f>VLOOKUP(C959,ID!$1:$1048576,2,FALSE)</f>
        <v>CISTERNAS YANAPA</v>
      </c>
      <c r="G959" s="2" t="str">
        <f>VLOOKUP(D959,CORREOS!$A$2:$B$570,2,FALSE)</f>
        <v>LCISTERNAS@CL.LUCKIA.COM</v>
      </c>
      <c r="H959" s="24" t="str">
        <f>VLOOKUP(A959,'Informe 2025'!$A$5:$C$164,3,FALSE)</f>
        <v>Lenguaje no Verbal</v>
      </c>
      <c r="I959">
        <f>VLOOKUP(H959,'Informe 2025'!$C$6:$M$166,11,FALSE)</f>
        <v>4</v>
      </c>
    </row>
    <row r="960" spans="1:9" x14ac:dyDescent="0.25">
      <c r="A960" s="2">
        <v>75</v>
      </c>
      <c r="B960" t="str">
        <f>VLOOKUP(A960,'Informe 2025'!$1:$1048576,2,FALSE)</f>
        <v>SEPTIEMBRE</v>
      </c>
      <c r="C960" t="s">
        <v>350</v>
      </c>
      <c r="D960" s="20" t="str">
        <f>VLOOKUP(C960,ID!$1:$1048576,4,FALSE)</f>
        <v>102734</v>
      </c>
      <c r="E960" s="20" t="str">
        <f>VLOOKUP(C960,ID!$1:$1048576,3,FALSE)</f>
        <v xml:space="preserve"> JOSE EDUARDO</v>
      </c>
      <c r="F960" s="20" t="str">
        <f>VLOOKUP(C960,ID!$1:$1048576,2,FALSE)</f>
        <v>FUNEZ SEPULVEDA</v>
      </c>
      <c r="G960" s="2" t="str">
        <f>VLOOKUP(D960,CORREOS!$A$2:$B$570,2,FALSE)</f>
        <v>JFUNEZ@CL.LUCKIA.COM</v>
      </c>
      <c r="H960" s="24" t="str">
        <f>VLOOKUP(A960,'Informe 2025'!$A$5:$C$164,3,FALSE)</f>
        <v>Lenguaje no Verbal</v>
      </c>
      <c r="I960">
        <f>VLOOKUP(H960,'Informe 2025'!$C$6:$M$166,11,FALSE)</f>
        <v>4</v>
      </c>
    </row>
    <row r="961" spans="1:9" x14ac:dyDescent="0.25">
      <c r="A961" s="2">
        <v>75</v>
      </c>
      <c r="B961" t="str">
        <f>VLOOKUP(A961,'Informe 2025'!$1:$1048576,2,FALSE)</f>
        <v>SEPTIEMBRE</v>
      </c>
      <c r="C961" t="s">
        <v>353</v>
      </c>
      <c r="D961" s="20" t="str">
        <f>VLOOKUP(C961,ID!$1:$1048576,4,FALSE)</f>
        <v>102748</v>
      </c>
      <c r="E961" s="20" t="str">
        <f>VLOOKUP(C961,ID!$1:$1048576,3,FALSE)</f>
        <v xml:space="preserve"> EMMERSON</v>
      </c>
      <c r="F961" s="20" t="str">
        <f>VLOOKUP(C961,ID!$1:$1048576,2,FALSE)</f>
        <v>GALVEZ IBARRA</v>
      </c>
      <c r="G961" s="2" t="str">
        <f>VLOOKUP(D961,CORREOS!$A$2:$B$570,2,FALSE)</f>
        <v>EGALVEZ@CL.LUCKIA.COM</v>
      </c>
      <c r="H961" s="24" t="str">
        <f>VLOOKUP(A961,'Informe 2025'!$A$5:$C$164,3,FALSE)</f>
        <v>Lenguaje no Verbal</v>
      </c>
      <c r="I961">
        <f>VLOOKUP(H961,'Informe 2025'!$C$6:$M$166,11,FALSE)</f>
        <v>4</v>
      </c>
    </row>
    <row r="962" spans="1:9" x14ac:dyDescent="0.25">
      <c r="A962" s="2">
        <v>75</v>
      </c>
      <c r="B962" t="str">
        <f>VLOOKUP(A962,'Informe 2025'!$1:$1048576,2,FALSE)</f>
        <v>SEPTIEMBRE</v>
      </c>
      <c r="C962" t="s">
        <v>355</v>
      </c>
      <c r="D962" s="20" t="str">
        <f>VLOOKUP(C962,ID!$1:$1048576,4,FALSE)</f>
        <v>102270</v>
      </c>
      <c r="E962" s="20" t="str">
        <f>VLOOKUP(C962,ID!$1:$1048576,3,FALSE)</f>
        <v xml:space="preserve"> FRANKIE IVAN</v>
      </c>
      <c r="F962" s="20" t="str">
        <f>VLOOKUP(C962,ID!$1:$1048576,2,FALSE)</f>
        <v>GARCIA URRUTIA</v>
      </c>
      <c r="G962" s="2" t="str">
        <f>VLOOKUP(D962,CORREOS!$A$2:$B$570,2,FALSE)</f>
        <v>FGURRUTIA@EGASACHILE.COM</v>
      </c>
      <c r="H962" s="24" t="str">
        <f>VLOOKUP(A962,'Informe 2025'!$A$5:$C$164,3,FALSE)</f>
        <v>Lenguaje no Verbal</v>
      </c>
      <c r="I962">
        <f>VLOOKUP(H962,'Informe 2025'!$C$6:$M$166,11,FALSE)</f>
        <v>4</v>
      </c>
    </row>
    <row r="963" spans="1:9" x14ac:dyDescent="0.25">
      <c r="A963" s="2">
        <v>75</v>
      </c>
      <c r="B963" t="str">
        <f>VLOOKUP(A963,'Informe 2025'!$1:$1048576,2,FALSE)</f>
        <v>SEPTIEMBRE</v>
      </c>
      <c r="C963" t="s">
        <v>391</v>
      </c>
      <c r="D963" s="20" t="str">
        <f>VLOOKUP(C963,ID!$1:$1048576,4,FALSE)</f>
        <v>102069</v>
      </c>
      <c r="E963" s="20" t="str">
        <f>VLOOKUP(C963,ID!$1:$1048576,3,FALSE)</f>
        <v xml:space="preserve"> VIVIANA JEANNETTE</v>
      </c>
      <c r="F963" s="20" t="str">
        <f>VLOOKUP(C963,ID!$1:$1048576,2,FALSE)</f>
        <v>JORQUERA OLIVARES</v>
      </c>
      <c r="G963" s="2" t="str">
        <f>VLOOKUP(D963,CORREOS!$A$2:$B$570,2,FALSE)</f>
        <v>VJORQUERA@ANTAYHOTELES.CL</v>
      </c>
      <c r="H963" s="24" t="str">
        <f>VLOOKUP(A963,'Informe 2025'!$A$5:$C$164,3,FALSE)</f>
        <v>Lenguaje no Verbal</v>
      </c>
      <c r="I963">
        <f>VLOOKUP(H963,'Informe 2025'!$C$6:$M$166,11,FALSE)</f>
        <v>4</v>
      </c>
    </row>
    <row r="964" spans="1:9" x14ac:dyDescent="0.25">
      <c r="A964" s="2">
        <v>75</v>
      </c>
      <c r="B964" t="str">
        <f>VLOOKUP(A964,'Informe 2025'!$1:$1048576,2,FALSE)</f>
        <v>SEPTIEMBRE</v>
      </c>
      <c r="C964" t="s">
        <v>378</v>
      </c>
      <c r="D964" s="20" t="str">
        <f>VLOOKUP(C964,ID!$1:$1048576,4,FALSE)</f>
        <v>101407</v>
      </c>
      <c r="E964" s="20" t="str">
        <f>VLOOKUP(C964,ID!$1:$1048576,3,FALSE)</f>
        <v xml:space="preserve"> JOSEPH ALFREDO</v>
      </c>
      <c r="F964" s="20" t="str">
        <f>VLOOKUP(C964,ID!$1:$1048576,2,FALSE)</f>
        <v>HENRIQUEZ ARAYA</v>
      </c>
      <c r="G964" s="2" t="str">
        <f>VLOOKUP(D964,CORREOS!$A$2:$B$570,2,FALSE)</f>
        <v>JOSEPHALFREDO.HENRIQUEZ@CL.LUCKIA.COM</v>
      </c>
      <c r="H964" s="24" t="str">
        <f>VLOOKUP(A964,'Informe 2025'!$A$5:$C$164,3,FALSE)</f>
        <v>Lenguaje no Verbal</v>
      </c>
      <c r="I964">
        <f>VLOOKUP(H964,'Informe 2025'!$C$6:$M$166,11,FALSE)</f>
        <v>4</v>
      </c>
    </row>
    <row r="965" spans="1:9" x14ac:dyDescent="0.25">
      <c r="A965" s="2">
        <v>75</v>
      </c>
      <c r="B965" t="str">
        <f>VLOOKUP(A965,'Informe 2025'!$1:$1048576,2,FALSE)</f>
        <v>SEPTIEMBRE</v>
      </c>
      <c r="C965" t="s">
        <v>1662</v>
      </c>
      <c r="D965" s="20" t="str">
        <f>VLOOKUP(C965,ID!$1:$1048576,4,FALSE)</f>
        <v>102451</v>
      </c>
      <c r="E965" s="20" t="str">
        <f>VLOOKUP(C965,ID!$1:$1048576,3,FALSE)</f>
        <v xml:space="preserve"> YRENE YNES</v>
      </c>
      <c r="F965" s="20" t="str">
        <f>VLOOKUP(C965,ID!$1:$1048576,2,FALSE)</f>
        <v>RUJANO FLORES</v>
      </c>
      <c r="G965" s="2" t="e">
        <f>VLOOKUP(D965,CORREOS!$A$2:$B$570,2,FALSE)</f>
        <v>#N/A</v>
      </c>
      <c r="H965" s="24" t="str">
        <f>VLOOKUP(A965,'Informe 2025'!$A$5:$C$164,3,FALSE)</f>
        <v>Lenguaje no Verbal</v>
      </c>
      <c r="I965">
        <f>VLOOKUP(H965,'Informe 2025'!$C$6:$M$166,11,FALSE)</f>
        <v>4</v>
      </c>
    </row>
    <row r="966" spans="1:9" x14ac:dyDescent="0.25">
      <c r="A966" s="2">
        <v>75</v>
      </c>
      <c r="B966" t="str">
        <f>VLOOKUP(A966,'Informe 2025'!$1:$1048576,2,FALSE)</f>
        <v>SEPTIEMBRE</v>
      </c>
      <c r="C966" t="s">
        <v>1970</v>
      </c>
      <c r="D966" s="20" t="str">
        <f>VLOOKUP(C966,ID!$1:$1048576,4,FALSE)</f>
        <v>104249</v>
      </c>
      <c r="E966" s="20" t="str">
        <f>VLOOKUP(C966,ID!$1:$1048576,3,FALSE)</f>
        <v xml:space="preserve"> JOSE ALEJANDRO</v>
      </c>
      <c r="F966" s="20" t="str">
        <f>VLOOKUP(C966,ID!$1:$1048576,2,FALSE)</f>
        <v>POBLETE PEREZ</v>
      </c>
      <c r="G966" s="2" t="str">
        <f>VLOOKUP(D966,CORREOS!$A$2:$B$570,2,FALSE)</f>
        <v>JPOBLETE@CL.LUCKIA.COM</v>
      </c>
      <c r="H966" s="24" t="str">
        <f>VLOOKUP(A966,'Informe 2025'!$A$5:$C$164,3,FALSE)</f>
        <v>Lenguaje no Verbal</v>
      </c>
      <c r="I966">
        <f>VLOOKUP(H966,'Informe 2025'!$C$6:$M$166,11,FALSE)</f>
        <v>4</v>
      </c>
    </row>
    <row r="967" spans="1:9" x14ac:dyDescent="0.25">
      <c r="A967" s="2">
        <v>75</v>
      </c>
      <c r="B967" t="str">
        <f>VLOOKUP(A967,'Informe 2025'!$1:$1048576,2,FALSE)</f>
        <v>SEPTIEMBRE</v>
      </c>
      <c r="C967" t="s">
        <v>339</v>
      </c>
      <c r="D967" s="20" t="str">
        <f>VLOOKUP(C967,ID!$1:$1048576,4,FALSE)</f>
        <v>101938</v>
      </c>
      <c r="E967" s="20" t="str">
        <f>VLOOKUP(C967,ID!$1:$1048576,3,FALSE)</f>
        <v xml:space="preserve"> LORETO ANDREA</v>
      </c>
      <c r="F967" s="20" t="str">
        <f>VLOOKUP(C967,ID!$1:$1048576,2,FALSE)</f>
        <v>FERNANDEZ GONZALEZ</v>
      </c>
      <c r="G967" s="2" t="str">
        <f>VLOOKUP(D967,CORREOS!$A$2:$B$570,2,FALSE)</f>
        <v>LFGONZALEZ@CL.LUCKIA.COM</v>
      </c>
      <c r="H967" s="24" t="str">
        <f>VLOOKUP(A967,'Informe 2025'!$A$5:$C$164,3,FALSE)</f>
        <v>Lenguaje no Verbal</v>
      </c>
      <c r="I967">
        <f>VLOOKUP(H967,'Informe 2025'!$C$6:$M$166,11,FALSE)</f>
        <v>4</v>
      </c>
    </row>
    <row r="968" spans="1:9" x14ac:dyDescent="0.25">
      <c r="A968" s="2">
        <v>75</v>
      </c>
      <c r="B968" t="str">
        <f>VLOOKUP(A968,'Informe 2025'!$1:$1048576,2,FALSE)</f>
        <v>SEPTIEMBRE</v>
      </c>
      <c r="C968" t="s">
        <v>515</v>
      </c>
      <c r="D968" s="20" t="str">
        <f>VLOOKUP(C968,ID!$1:$1048576,4,FALSE)</f>
        <v>102019</v>
      </c>
      <c r="E968" s="20" t="str">
        <f>VLOOKUP(C968,ID!$1:$1048576,3,FALSE)</f>
        <v xml:space="preserve"> BARBARA STEPHANIA</v>
      </c>
      <c r="F968" s="20" t="str">
        <f>VLOOKUP(C968,ID!$1:$1048576,2,FALSE)</f>
        <v>UGARTE LIRA</v>
      </c>
      <c r="G968" s="2" t="str">
        <f>VLOOKUP(D968,CORREOS!$A$2:$B$570,2,FALSE)</f>
        <v>BUGARTE@CL.LUCKIA.COM</v>
      </c>
      <c r="H968" s="24" t="str">
        <f>VLOOKUP(A968,'Informe 2025'!$A$5:$C$164,3,FALSE)</f>
        <v>Lenguaje no Verbal</v>
      </c>
      <c r="I968">
        <f>VLOOKUP(H968,'Informe 2025'!$C$6:$M$166,11,FALSE)</f>
        <v>4</v>
      </c>
    </row>
    <row r="969" spans="1:9" x14ac:dyDescent="0.25">
      <c r="A969" s="2">
        <v>75</v>
      </c>
      <c r="B969" t="str">
        <f>VLOOKUP(A969,'Informe 2025'!$1:$1048576,2,FALSE)</f>
        <v>SEPTIEMBRE</v>
      </c>
      <c r="C969" t="s">
        <v>1958</v>
      </c>
      <c r="D969" s="20" t="str">
        <f>VLOOKUP(C969,ID!$1:$1048576,4,FALSE)</f>
        <v>104250</v>
      </c>
      <c r="E969" s="20" t="str">
        <f>VLOOKUP(C969,ID!$1:$1048576,3,FALSE)</f>
        <v xml:space="preserve"> LUIS FELIPE</v>
      </c>
      <c r="F969" s="20" t="str">
        <f>VLOOKUP(C969,ID!$1:$1048576,2,FALSE)</f>
        <v>ESPINOZA ESCOBAR</v>
      </c>
      <c r="G969" s="2" t="str">
        <f>VLOOKUP(D969,CORREOS!$A$2:$B$570,2,FALSE)</f>
        <v>LESPINOZA@CL.LUCKIA.COM</v>
      </c>
      <c r="H969" s="24" t="str">
        <f>VLOOKUP(A969,'Informe 2025'!$A$5:$C$164,3,FALSE)</f>
        <v>Lenguaje no Verbal</v>
      </c>
      <c r="I969">
        <f>VLOOKUP(H969,'Informe 2025'!$C$6:$M$166,11,FALSE)</f>
        <v>4</v>
      </c>
    </row>
    <row r="970" spans="1:9" x14ac:dyDescent="0.25">
      <c r="B970" t="e">
        <f>VLOOKUP(A970,'Informe 2025'!$1:$1048576,2,FALSE)</f>
        <v>#N/A</v>
      </c>
      <c r="D970" s="20" t="e">
        <f>VLOOKUP(C970,ID!$1:$1048576,4,FALSE)</f>
        <v>#N/A</v>
      </c>
      <c r="E970" s="20" t="e">
        <f>VLOOKUP(C970,ID!$1:$1048576,3,FALSE)</f>
        <v>#N/A</v>
      </c>
      <c r="F970" s="20" t="e">
        <f>VLOOKUP(C970,ID!$1:$1048576,2,FALSE)</f>
        <v>#N/A</v>
      </c>
      <c r="G970" s="2" t="e">
        <f>VLOOKUP(D970,CORREOS!$A$2:$B$570,2,FALSE)</f>
        <v>#N/A</v>
      </c>
      <c r="H970" s="24" t="e">
        <f>VLOOKUP(A970,'Informe 2025'!$A$5:$C$164,3,FALSE)</f>
        <v>#N/A</v>
      </c>
      <c r="I970" t="e">
        <f>VLOOKUP(H970,'Informe 2025'!$C$6:$M$166,11,FALSE)</f>
        <v>#N/A</v>
      </c>
    </row>
    <row r="971" spans="1:9" x14ac:dyDescent="0.25">
      <c r="B971" t="e">
        <f>VLOOKUP(A971,'Informe 2025'!$1:$1048576,2,FALSE)</f>
        <v>#N/A</v>
      </c>
      <c r="D971" s="20" t="e">
        <f>VLOOKUP(C971,ID!$1:$1048576,4,FALSE)</f>
        <v>#N/A</v>
      </c>
      <c r="E971" s="20" t="e">
        <f>VLOOKUP(C971,ID!$1:$1048576,3,FALSE)</f>
        <v>#N/A</v>
      </c>
      <c r="F971" s="20" t="e">
        <f>VLOOKUP(C971,ID!$1:$1048576,2,FALSE)</f>
        <v>#N/A</v>
      </c>
      <c r="G971" s="2" t="e">
        <f>VLOOKUP(D971,CORREOS!$A$2:$B$570,2,FALSE)</f>
        <v>#N/A</v>
      </c>
      <c r="H971" s="24" t="e">
        <f>VLOOKUP(A971,'Informe 2025'!$A$5:$C$164,3,FALSE)</f>
        <v>#N/A</v>
      </c>
      <c r="I971" t="e">
        <f>VLOOKUP(H971,'Informe 2025'!$C$6:$M$166,11,FALSE)</f>
        <v>#N/A</v>
      </c>
    </row>
    <row r="972" spans="1:9" x14ac:dyDescent="0.25">
      <c r="B972" t="e">
        <f>VLOOKUP(A972,'Informe 2025'!$1:$1048576,2,FALSE)</f>
        <v>#N/A</v>
      </c>
      <c r="D972" s="20" t="e">
        <f>VLOOKUP(C972,ID!$1:$1048576,4,FALSE)</f>
        <v>#N/A</v>
      </c>
      <c r="E972" s="20" t="e">
        <f>VLOOKUP(C972,ID!$1:$1048576,3,FALSE)</f>
        <v>#N/A</v>
      </c>
      <c r="F972" s="20" t="e">
        <f>VLOOKUP(C972,ID!$1:$1048576,2,FALSE)</f>
        <v>#N/A</v>
      </c>
      <c r="G972" s="2" t="e">
        <f>VLOOKUP(D972,CORREOS!$A$2:$B$570,2,FALSE)</f>
        <v>#N/A</v>
      </c>
      <c r="H972" s="24" t="e">
        <f>VLOOKUP(A972,'Informe 2025'!$A$5:$C$164,3,FALSE)</f>
        <v>#N/A</v>
      </c>
      <c r="I972" t="e">
        <f>VLOOKUP(H972,'Informe 2025'!$C$6:$M$166,11,FALSE)</f>
        <v>#N/A</v>
      </c>
    </row>
    <row r="973" spans="1:9" x14ac:dyDescent="0.25">
      <c r="B973" t="e">
        <f>VLOOKUP(A973,'Informe 2025'!$1:$1048576,2,FALSE)</f>
        <v>#N/A</v>
      </c>
      <c r="D973" s="20" t="e">
        <f>VLOOKUP(C973,ID!$1:$1048576,4,FALSE)</f>
        <v>#N/A</v>
      </c>
      <c r="E973" s="20" t="e">
        <f>VLOOKUP(C973,ID!$1:$1048576,3,FALSE)</f>
        <v>#N/A</v>
      </c>
      <c r="F973" s="20" t="e">
        <f>VLOOKUP(C973,ID!$1:$1048576,2,FALSE)</f>
        <v>#N/A</v>
      </c>
      <c r="G973" s="2" t="e">
        <f>VLOOKUP(D973,CORREOS!$A$2:$B$570,2,FALSE)</f>
        <v>#N/A</v>
      </c>
      <c r="H973" s="24" t="e">
        <f>VLOOKUP(A973,'Informe 2025'!$A$5:$C$164,3,FALSE)</f>
        <v>#N/A</v>
      </c>
      <c r="I973" t="e">
        <f>VLOOKUP(H973,'Informe 2025'!$C$6:$M$166,11,FALSE)</f>
        <v>#N/A</v>
      </c>
    </row>
    <row r="974" spans="1:9" x14ac:dyDescent="0.25">
      <c r="B974" t="e">
        <f>VLOOKUP(A974,'Informe 2025'!$1:$1048576,2,FALSE)</f>
        <v>#N/A</v>
      </c>
      <c r="D974" s="20" t="e">
        <f>VLOOKUP(C974,ID!$1:$1048576,4,FALSE)</f>
        <v>#N/A</v>
      </c>
      <c r="E974" s="20" t="e">
        <f>VLOOKUP(C974,ID!$1:$1048576,3,FALSE)</f>
        <v>#N/A</v>
      </c>
      <c r="F974" s="20" t="e">
        <f>VLOOKUP(C974,ID!$1:$1048576,2,FALSE)</f>
        <v>#N/A</v>
      </c>
      <c r="G974" s="2" t="e">
        <f>VLOOKUP(D974,CORREOS!$A$2:$B$570,2,FALSE)</f>
        <v>#N/A</v>
      </c>
      <c r="H974" s="24" t="e">
        <f>VLOOKUP(A974,'Informe 2025'!$A$5:$C$164,3,FALSE)</f>
        <v>#N/A</v>
      </c>
      <c r="I974" t="e">
        <f>VLOOKUP(H974,'Informe 2025'!$C$6:$M$166,11,FALSE)</f>
        <v>#N/A</v>
      </c>
    </row>
    <row r="975" spans="1:9" x14ac:dyDescent="0.25">
      <c r="B975" t="e">
        <f>VLOOKUP(A975,'Informe 2025'!$1:$1048576,2,FALSE)</f>
        <v>#N/A</v>
      </c>
      <c r="D975" s="20" t="e">
        <f>VLOOKUP(C975,ID!$1:$1048576,4,FALSE)</f>
        <v>#N/A</v>
      </c>
      <c r="E975" s="20" t="e">
        <f>VLOOKUP(C975,ID!$1:$1048576,3,FALSE)</f>
        <v>#N/A</v>
      </c>
      <c r="F975" s="20" t="e">
        <f>VLOOKUP(C975,ID!$1:$1048576,2,FALSE)</f>
        <v>#N/A</v>
      </c>
      <c r="G975" s="2" t="e">
        <f>VLOOKUP(D975,CORREOS!$A$2:$B$570,2,FALSE)</f>
        <v>#N/A</v>
      </c>
      <c r="H975" s="24" t="e">
        <f>VLOOKUP(A975,'Informe 2025'!$A$5:$C$164,3,FALSE)</f>
        <v>#N/A</v>
      </c>
      <c r="I975" t="e">
        <f>VLOOKUP(H975,'Informe 2025'!$C$6:$M$166,11,FALSE)</f>
        <v>#N/A</v>
      </c>
    </row>
    <row r="976" spans="1:9" x14ac:dyDescent="0.25">
      <c r="B976" t="e">
        <f>VLOOKUP(A976,'Informe 2025'!$1:$1048576,2,FALSE)</f>
        <v>#N/A</v>
      </c>
      <c r="D976" s="20" t="e">
        <f>VLOOKUP(C976,ID!$1:$1048576,4,FALSE)</f>
        <v>#N/A</v>
      </c>
      <c r="E976" s="20" t="e">
        <f>VLOOKUP(C976,ID!$1:$1048576,3,FALSE)</f>
        <v>#N/A</v>
      </c>
      <c r="F976" s="20" t="e">
        <f>VLOOKUP(C976,ID!$1:$1048576,2,FALSE)</f>
        <v>#N/A</v>
      </c>
      <c r="G976" s="2" t="e">
        <f>VLOOKUP(D976,CORREOS!$A$2:$B$570,2,FALSE)</f>
        <v>#N/A</v>
      </c>
      <c r="H976" s="24" t="e">
        <f>VLOOKUP(A976,'Informe 2025'!$A$5:$C$164,3,FALSE)</f>
        <v>#N/A</v>
      </c>
      <c r="I976" t="e">
        <f>VLOOKUP(H976,'Informe 2025'!$C$6:$M$166,11,FALSE)</f>
        <v>#N/A</v>
      </c>
    </row>
    <row r="977" spans="2:9" x14ac:dyDescent="0.25">
      <c r="B977" t="e">
        <f>VLOOKUP(A977,'Informe 2025'!$1:$1048576,2,FALSE)</f>
        <v>#N/A</v>
      </c>
      <c r="D977" s="20" t="e">
        <f>VLOOKUP(C977,ID!$1:$1048576,4,FALSE)</f>
        <v>#N/A</v>
      </c>
      <c r="E977" s="20" t="e">
        <f>VLOOKUP(C977,ID!$1:$1048576,3,FALSE)</f>
        <v>#N/A</v>
      </c>
      <c r="F977" s="20" t="e">
        <f>VLOOKUP(C977,ID!$1:$1048576,2,FALSE)</f>
        <v>#N/A</v>
      </c>
      <c r="G977" s="2" t="e">
        <f>VLOOKUP(D977,CORREOS!$A$2:$B$570,2,FALSE)</f>
        <v>#N/A</v>
      </c>
      <c r="H977" s="24" t="e">
        <f>VLOOKUP(A977,'Informe 2025'!$A$5:$C$164,3,FALSE)</f>
        <v>#N/A</v>
      </c>
      <c r="I977" t="e">
        <f>VLOOKUP(H977,'Informe 2025'!$C$6:$M$166,11,FALSE)</f>
        <v>#N/A</v>
      </c>
    </row>
    <row r="978" spans="2:9" x14ac:dyDescent="0.25">
      <c r="B978" t="e">
        <f>VLOOKUP(A978,'Informe 2025'!$1:$1048576,2,FALSE)</f>
        <v>#N/A</v>
      </c>
      <c r="D978" s="20" t="e">
        <f>VLOOKUP(C978,ID!$1:$1048576,4,FALSE)</f>
        <v>#N/A</v>
      </c>
      <c r="E978" s="20" t="e">
        <f>VLOOKUP(C978,ID!$1:$1048576,3,FALSE)</f>
        <v>#N/A</v>
      </c>
      <c r="F978" s="20" t="e">
        <f>VLOOKUP(C978,ID!$1:$1048576,2,FALSE)</f>
        <v>#N/A</v>
      </c>
      <c r="G978" s="2" t="e">
        <f>VLOOKUP(D978,CORREOS!$A$2:$B$570,2,FALSE)</f>
        <v>#N/A</v>
      </c>
      <c r="H978" s="24" t="e">
        <f>VLOOKUP(A978,'Informe 2025'!$A$5:$C$164,3,FALSE)</f>
        <v>#N/A</v>
      </c>
      <c r="I978" t="e">
        <f>VLOOKUP(H978,'Informe 2025'!$C$6:$M$166,11,FALSE)</f>
        <v>#N/A</v>
      </c>
    </row>
    <row r="979" spans="2:9" x14ac:dyDescent="0.25">
      <c r="B979" t="e">
        <f>VLOOKUP(A979,'Informe 2025'!$1:$1048576,2,FALSE)</f>
        <v>#N/A</v>
      </c>
      <c r="D979" s="20" t="e">
        <f>VLOOKUP(C979,ID!$1:$1048576,4,FALSE)</f>
        <v>#N/A</v>
      </c>
      <c r="E979" s="20" t="e">
        <f>VLOOKUP(C979,ID!$1:$1048576,3,FALSE)</f>
        <v>#N/A</v>
      </c>
      <c r="F979" s="20" t="e">
        <f>VLOOKUP(C979,ID!$1:$1048576,2,FALSE)</f>
        <v>#N/A</v>
      </c>
      <c r="G979" s="2" t="e">
        <f>VLOOKUP(D979,CORREOS!$A$2:$B$570,2,FALSE)</f>
        <v>#N/A</v>
      </c>
      <c r="H979" s="24" t="e">
        <f>VLOOKUP(A979,'Informe 2025'!$A$5:$C$164,3,FALSE)</f>
        <v>#N/A</v>
      </c>
      <c r="I979" t="e">
        <f>VLOOKUP(H979,'Informe 2025'!$C$6:$M$166,11,FALSE)</f>
        <v>#N/A</v>
      </c>
    </row>
    <row r="980" spans="2:9" x14ac:dyDescent="0.25">
      <c r="B980" t="e">
        <f>VLOOKUP(A980,'Informe 2025'!$1:$1048576,2,FALSE)</f>
        <v>#N/A</v>
      </c>
      <c r="D980" s="20" t="e">
        <f>VLOOKUP(C980,ID!$1:$1048576,4,FALSE)</f>
        <v>#N/A</v>
      </c>
      <c r="E980" s="20" t="e">
        <f>VLOOKUP(C980,ID!$1:$1048576,3,FALSE)</f>
        <v>#N/A</v>
      </c>
      <c r="F980" s="20" t="e">
        <f>VLOOKUP(C980,ID!$1:$1048576,2,FALSE)</f>
        <v>#N/A</v>
      </c>
      <c r="G980" s="2" t="e">
        <f>VLOOKUP(D980,CORREOS!$A$2:$B$570,2,FALSE)</f>
        <v>#N/A</v>
      </c>
      <c r="H980" s="24" t="e">
        <f>VLOOKUP(A980,'Informe 2025'!$A$5:$C$164,3,FALSE)</f>
        <v>#N/A</v>
      </c>
      <c r="I980" t="e">
        <f>VLOOKUP(H980,'Informe 2025'!$C$6:$M$166,11,FALSE)</f>
        <v>#N/A</v>
      </c>
    </row>
    <row r="981" spans="2:9" x14ac:dyDescent="0.25">
      <c r="B981" t="e">
        <f>VLOOKUP(A981,'Informe 2025'!$1:$1048576,2,FALSE)</f>
        <v>#N/A</v>
      </c>
      <c r="D981" s="20" t="e">
        <f>VLOOKUP(C981,ID!$1:$1048576,4,FALSE)</f>
        <v>#N/A</v>
      </c>
      <c r="E981" s="20" t="e">
        <f>VLOOKUP(C981,ID!$1:$1048576,3,FALSE)</f>
        <v>#N/A</v>
      </c>
      <c r="F981" s="20" t="e">
        <f>VLOOKUP(C981,ID!$1:$1048576,2,FALSE)</f>
        <v>#N/A</v>
      </c>
      <c r="G981" s="2" t="e">
        <f>VLOOKUP(D981,CORREOS!$A$2:$B$570,2,FALSE)</f>
        <v>#N/A</v>
      </c>
      <c r="H981" s="24" t="e">
        <f>VLOOKUP(A981,'Informe 2025'!$A$5:$C$164,3,FALSE)</f>
        <v>#N/A</v>
      </c>
      <c r="I981" t="e">
        <f>VLOOKUP(H981,'Informe 2025'!$C$6:$M$166,11,FALSE)</f>
        <v>#N/A</v>
      </c>
    </row>
    <row r="982" spans="2:9" x14ac:dyDescent="0.25">
      <c r="B982" t="e">
        <f>VLOOKUP(A982,'Informe 2025'!$1:$1048576,2,FALSE)</f>
        <v>#N/A</v>
      </c>
      <c r="D982" s="20" t="e">
        <f>VLOOKUP(C982,ID!$1:$1048576,4,FALSE)</f>
        <v>#N/A</v>
      </c>
      <c r="E982" s="20" t="e">
        <f>VLOOKUP(C982,ID!$1:$1048576,3,FALSE)</f>
        <v>#N/A</v>
      </c>
      <c r="F982" s="20" t="e">
        <f>VLOOKUP(C982,ID!$1:$1048576,2,FALSE)</f>
        <v>#N/A</v>
      </c>
      <c r="G982" s="2" t="e">
        <f>VLOOKUP(D982,CORREOS!$A$2:$B$570,2,FALSE)</f>
        <v>#N/A</v>
      </c>
      <c r="H982" s="24" t="e">
        <f>VLOOKUP(A982,'Informe 2025'!$A$5:$C$164,3,FALSE)</f>
        <v>#N/A</v>
      </c>
      <c r="I982" t="e">
        <f>VLOOKUP(H982,'Informe 2025'!$C$6:$M$166,11,FALSE)</f>
        <v>#N/A</v>
      </c>
    </row>
    <row r="983" spans="2:9" x14ac:dyDescent="0.25">
      <c r="B983" t="e">
        <f>VLOOKUP(A983,'Informe 2025'!$1:$1048576,2,FALSE)</f>
        <v>#N/A</v>
      </c>
      <c r="D983" s="20" t="e">
        <f>VLOOKUP(C983,ID!$1:$1048576,4,FALSE)</f>
        <v>#N/A</v>
      </c>
      <c r="E983" s="20" t="e">
        <f>VLOOKUP(C983,ID!$1:$1048576,3,FALSE)</f>
        <v>#N/A</v>
      </c>
      <c r="F983" s="20" t="e">
        <f>VLOOKUP(C983,ID!$1:$1048576,2,FALSE)</f>
        <v>#N/A</v>
      </c>
      <c r="G983" s="2" t="e">
        <f>VLOOKUP(D983,CORREOS!$A$2:$B$570,2,FALSE)</f>
        <v>#N/A</v>
      </c>
      <c r="H983" s="24" t="e">
        <f>VLOOKUP(A983,'Informe 2025'!$A$5:$C$164,3,FALSE)</f>
        <v>#N/A</v>
      </c>
      <c r="I983" t="e">
        <f>VLOOKUP(H983,'Informe 2025'!$C$6:$M$166,11,FALSE)</f>
        <v>#N/A</v>
      </c>
    </row>
    <row r="984" spans="2:9" x14ac:dyDescent="0.25">
      <c r="B984" t="e">
        <f>VLOOKUP(A984,'Informe 2025'!$1:$1048576,2,FALSE)</f>
        <v>#N/A</v>
      </c>
      <c r="D984" s="20" t="e">
        <f>VLOOKUP(C984,ID!$1:$1048576,4,FALSE)</f>
        <v>#N/A</v>
      </c>
      <c r="E984" s="20" t="e">
        <f>VLOOKUP(C984,ID!$1:$1048576,3,FALSE)</f>
        <v>#N/A</v>
      </c>
      <c r="F984" s="20" t="e">
        <f>VLOOKUP(C984,ID!$1:$1048576,2,FALSE)</f>
        <v>#N/A</v>
      </c>
      <c r="G984" s="2" t="e">
        <f>VLOOKUP(D984,CORREOS!$A$2:$B$570,2,FALSE)</f>
        <v>#N/A</v>
      </c>
      <c r="H984" s="24" t="e">
        <f>VLOOKUP(A984,'Informe 2025'!$A$5:$C$164,3,FALSE)</f>
        <v>#N/A</v>
      </c>
      <c r="I984" t="e">
        <f>VLOOKUP(H984,'Informe 2025'!$C$6:$M$166,11,FALSE)</f>
        <v>#N/A</v>
      </c>
    </row>
    <row r="985" spans="2:9" x14ac:dyDescent="0.25">
      <c r="B985" t="e">
        <f>VLOOKUP(A985,'Informe 2025'!$1:$1048576,2,FALSE)</f>
        <v>#N/A</v>
      </c>
      <c r="D985" s="20" t="e">
        <f>VLOOKUP(C985,ID!$1:$1048576,4,FALSE)</f>
        <v>#N/A</v>
      </c>
      <c r="E985" s="20" t="e">
        <f>VLOOKUP(C985,ID!$1:$1048576,3,FALSE)</f>
        <v>#N/A</v>
      </c>
      <c r="F985" s="20" t="e">
        <f>VLOOKUP(C985,ID!$1:$1048576,2,FALSE)</f>
        <v>#N/A</v>
      </c>
      <c r="G985" s="2" t="e">
        <f>VLOOKUP(D985,CORREOS!$A$2:$B$570,2,FALSE)</f>
        <v>#N/A</v>
      </c>
      <c r="H985" s="24" t="e">
        <f>VLOOKUP(A985,'Informe 2025'!$A$5:$C$164,3,FALSE)</f>
        <v>#N/A</v>
      </c>
      <c r="I985" t="e">
        <f>VLOOKUP(H985,'Informe 2025'!$C$6:$M$166,11,FALSE)</f>
        <v>#N/A</v>
      </c>
    </row>
    <row r="986" spans="2:9" x14ac:dyDescent="0.25">
      <c r="B986" t="e">
        <f>VLOOKUP(A986,'Informe 2025'!$1:$1048576,2,FALSE)</f>
        <v>#N/A</v>
      </c>
      <c r="D986" s="20" t="e">
        <f>VLOOKUP(C986,ID!$1:$1048576,4,FALSE)</f>
        <v>#N/A</v>
      </c>
      <c r="E986" s="20" t="e">
        <f>VLOOKUP(C986,ID!$1:$1048576,3,FALSE)</f>
        <v>#N/A</v>
      </c>
      <c r="F986" s="20" t="e">
        <f>VLOOKUP(C986,ID!$1:$1048576,2,FALSE)</f>
        <v>#N/A</v>
      </c>
      <c r="G986" s="2" t="e">
        <f>VLOOKUP(D986,CORREOS!$A$2:$B$570,2,FALSE)</f>
        <v>#N/A</v>
      </c>
      <c r="H986" s="24" t="e">
        <f>VLOOKUP(A986,'Informe 2025'!$A$5:$C$164,3,FALSE)</f>
        <v>#N/A</v>
      </c>
      <c r="I986" t="e">
        <f>VLOOKUP(H986,'Informe 2025'!$C$6:$M$166,11,FALSE)</f>
        <v>#N/A</v>
      </c>
    </row>
    <row r="987" spans="2:9" x14ac:dyDescent="0.25">
      <c r="B987" t="e">
        <f>VLOOKUP(A987,'Informe 2025'!$1:$1048576,2,FALSE)</f>
        <v>#N/A</v>
      </c>
      <c r="D987" s="20" t="e">
        <f>VLOOKUP(C987,ID!$1:$1048576,4,FALSE)</f>
        <v>#N/A</v>
      </c>
      <c r="E987" s="20" t="e">
        <f>VLOOKUP(C987,ID!$1:$1048576,3,FALSE)</f>
        <v>#N/A</v>
      </c>
      <c r="F987" s="20" t="e">
        <f>VLOOKUP(C987,ID!$1:$1048576,2,FALSE)</f>
        <v>#N/A</v>
      </c>
      <c r="G987" s="2" t="e">
        <f>VLOOKUP(D987,CORREOS!$A$2:$B$570,2,FALSE)</f>
        <v>#N/A</v>
      </c>
      <c r="H987" s="24" t="e">
        <f>VLOOKUP(A987,'Informe 2025'!$A$5:$C$164,3,FALSE)</f>
        <v>#N/A</v>
      </c>
      <c r="I987" t="e">
        <f>VLOOKUP(H987,'Informe 2025'!$C$6:$M$166,11,FALSE)</f>
        <v>#N/A</v>
      </c>
    </row>
    <row r="988" spans="2:9" x14ac:dyDescent="0.25">
      <c r="B988" t="e">
        <f>VLOOKUP(A988,'Informe 2025'!$1:$1048576,2,FALSE)</f>
        <v>#N/A</v>
      </c>
      <c r="D988" s="20" t="e">
        <f>VLOOKUP(C988,ID!$1:$1048576,4,FALSE)</f>
        <v>#N/A</v>
      </c>
      <c r="E988" s="20" t="e">
        <f>VLOOKUP(C988,ID!$1:$1048576,3,FALSE)</f>
        <v>#N/A</v>
      </c>
      <c r="F988" s="20" t="e">
        <f>VLOOKUP(C988,ID!$1:$1048576,2,FALSE)</f>
        <v>#N/A</v>
      </c>
      <c r="G988" s="2" t="e">
        <f>VLOOKUP(D988,CORREOS!$A$2:$B$570,2,FALSE)</f>
        <v>#N/A</v>
      </c>
      <c r="H988" s="24" t="e">
        <f>VLOOKUP(A988,'Informe 2025'!$A$5:$C$164,3,FALSE)</f>
        <v>#N/A</v>
      </c>
      <c r="I988" t="e">
        <f>VLOOKUP(H988,'Informe 2025'!$C$6:$M$166,11,FALSE)</f>
        <v>#N/A</v>
      </c>
    </row>
    <row r="989" spans="2:9" x14ac:dyDescent="0.25">
      <c r="B989" t="e">
        <f>VLOOKUP(A989,'Informe 2025'!$1:$1048576,2,FALSE)</f>
        <v>#N/A</v>
      </c>
      <c r="D989" s="20" t="e">
        <f>VLOOKUP(C989,ID!$1:$1048576,4,FALSE)</f>
        <v>#N/A</v>
      </c>
      <c r="E989" s="20" t="e">
        <f>VLOOKUP(C989,ID!$1:$1048576,3,FALSE)</f>
        <v>#N/A</v>
      </c>
      <c r="F989" s="20" t="e">
        <f>VLOOKUP(C989,ID!$1:$1048576,2,FALSE)</f>
        <v>#N/A</v>
      </c>
      <c r="G989" s="2" t="e">
        <f>VLOOKUP(D989,CORREOS!$A$2:$B$570,2,FALSE)</f>
        <v>#N/A</v>
      </c>
      <c r="H989" s="24" t="e">
        <f>VLOOKUP(A989,'Informe 2025'!$A$5:$C$164,3,FALSE)</f>
        <v>#N/A</v>
      </c>
      <c r="I989" t="e">
        <f>VLOOKUP(H989,'Informe 2025'!$C$6:$M$166,11,FALSE)</f>
        <v>#N/A</v>
      </c>
    </row>
    <row r="990" spans="2:9" x14ac:dyDescent="0.25">
      <c r="B990" t="e">
        <f>VLOOKUP(A990,'Informe 2025'!$1:$1048576,2,FALSE)</f>
        <v>#N/A</v>
      </c>
      <c r="D990" s="20" t="e">
        <f>VLOOKUP(C990,ID!$1:$1048576,4,FALSE)</f>
        <v>#N/A</v>
      </c>
      <c r="E990" s="20" t="e">
        <f>VLOOKUP(C990,ID!$1:$1048576,3,FALSE)</f>
        <v>#N/A</v>
      </c>
      <c r="F990" s="20" t="e">
        <f>VLOOKUP(C990,ID!$1:$1048576,2,FALSE)</f>
        <v>#N/A</v>
      </c>
      <c r="G990" s="2" t="e">
        <f>VLOOKUP(D990,CORREOS!$A$2:$B$570,2,FALSE)</f>
        <v>#N/A</v>
      </c>
      <c r="H990" s="24" t="e">
        <f>VLOOKUP(A990,'Informe 2025'!$A$5:$C$164,3,FALSE)</f>
        <v>#N/A</v>
      </c>
      <c r="I990" t="e">
        <f>VLOOKUP(H990,'Informe 2025'!$C$6:$M$166,11,FALSE)</f>
        <v>#N/A</v>
      </c>
    </row>
    <row r="991" spans="2:9" x14ac:dyDescent="0.25">
      <c r="B991" t="e">
        <f>VLOOKUP(A991,'Informe 2025'!$1:$1048576,2,FALSE)</f>
        <v>#N/A</v>
      </c>
      <c r="D991" s="20" t="e">
        <f>VLOOKUP(C991,ID!$1:$1048576,4,FALSE)</f>
        <v>#N/A</v>
      </c>
      <c r="E991" s="20" t="e">
        <f>VLOOKUP(C991,ID!$1:$1048576,3,FALSE)</f>
        <v>#N/A</v>
      </c>
      <c r="F991" s="20" t="e">
        <f>VLOOKUP(C991,ID!$1:$1048576,2,FALSE)</f>
        <v>#N/A</v>
      </c>
      <c r="G991" s="2" t="e">
        <f>VLOOKUP(D991,CORREOS!$A$2:$B$570,2,FALSE)</f>
        <v>#N/A</v>
      </c>
      <c r="H991" s="24" t="e">
        <f>VLOOKUP(A991,'Informe 2025'!$A$5:$C$164,3,FALSE)</f>
        <v>#N/A</v>
      </c>
      <c r="I991" t="e">
        <f>VLOOKUP(H991,'Informe 2025'!$C$6:$M$166,11,FALSE)</f>
        <v>#N/A</v>
      </c>
    </row>
    <row r="992" spans="2:9" x14ac:dyDescent="0.25">
      <c r="B992" t="e">
        <f>VLOOKUP(A992,'Informe 2025'!$1:$1048576,2,FALSE)</f>
        <v>#N/A</v>
      </c>
      <c r="D992" s="20" t="e">
        <f>VLOOKUP(C992,ID!$1:$1048576,4,FALSE)</f>
        <v>#N/A</v>
      </c>
      <c r="E992" s="20" t="e">
        <f>VLOOKUP(C992,ID!$1:$1048576,3,FALSE)</f>
        <v>#N/A</v>
      </c>
      <c r="F992" s="20" t="e">
        <f>VLOOKUP(C992,ID!$1:$1048576,2,FALSE)</f>
        <v>#N/A</v>
      </c>
      <c r="G992" s="2" t="e">
        <f>VLOOKUP(D992,CORREOS!$A$2:$B$570,2,FALSE)</f>
        <v>#N/A</v>
      </c>
      <c r="H992" s="24" t="e">
        <f>VLOOKUP(A992,'Informe 2025'!$A$5:$C$164,3,FALSE)</f>
        <v>#N/A</v>
      </c>
      <c r="I992" t="e">
        <f>VLOOKUP(H992,'Informe 2025'!$C$6:$M$166,11,FALSE)</f>
        <v>#N/A</v>
      </c>
    </row>
    <row r="993" spans="2:9" x14ac:dyDescent="0.25">
      <c r="B993" t="e">
        <f>VLOOKUP(A993,'Informe 2025'!$1:$1048576,2,FALSE)</f>
        <v>#N/A</v>
      </c>
      <c r="D993" s="20" t="e">
        <f>VLOOKUP(C993,ID!$1:$1048576,4,FALSE)</f>
        <v>#N/A</v>
      </c>
      <c r="E993" s="20" t="e">
        <f>VLOOKUP(C993,ID!$1:$1048576,3,FALSE)</f>
        <v>#N/A</v>
      </c>
      <c r="F993" s="20" t="e">
        <f>VLOOKUP(C993,ID!$1:$1048576,2,FALSE)</f>
        <v>#N/A</v>
      </c>
      <c r="G993" s="2" t="e">
        <f>VLOOKUP(D993,CORREOS!$A$2:$B$570,2,FALSE)</f>
        <v>#N/A</v>
      </c>
      <c r="H993" s="24" t="e">
        <f>VLOOKUP(A993,'Informe 2025'!$A$5:$C$164,3,FALSE)</f>
        <v>#N/A</v>
      </c>
      <c r="I993" t="e">
        <f>VLOOKUP(H993,'Informe 2025'!$C$6:$M$166,11,FALSE)</f>
        <v>#N/A</v>
      </c>
    </row>
    <row r="994" spans="2:9" x14ac:dyDescent="0.25">
      <c r="B994" t="e">
        <f>VLOOKUP(A994,'Informe 2025'!$1:$1048576,2,FALSE)</f>
        <v>#N/A</v>
      </c>
      <c r="D994" s="20" t="e">
        <f>VLOOKUP(C994,ID!$1:$1048576,4,FALSE)</f>
        <v>#N/A</v>
      </c>
      <c r="E994" s="20" t="e">
        <f>VLOOKUP(C994,ID!$1:$1048576,3,FALSE)</f>
        <v>#N/A</v>
      </c>
      <c r="F994" s="20" t="e">
        <f>VLOOKUP(C994,ID!$1:$1048576,2,FALSE)</f>
        <v>#N/A</v>
      </c>
      <c r="G994" s="2" t="e">
        <f>VLOOKUP(D994,CORREOS!$A$2:$B$570,2,FALSE)</f>
        <v>#N/A</v>
      </c>
      <c r="H994" s="24" t="e">
        <f>VLOOKUP(A994,'Informe 2025'!$A$5:$C$164,3,FALSE)</f>
        <v>#N/A</v>
      </c>
      <c r="I994" t="e">
        <f>VLOOKUP(H994,'Informe 2025'!$C$6:$M$166,11,FALSE)</f>
        <v>#N/A</v>
      </c>
    </row>
    <row r="995" spans="2:9" x14ac:dyDescent="0.25">
      <c r="B995" t="e">
        <f>VLOOKUP(A995,'Informe 2025'!$1:$1048576,2,FALSE)</f>
        <v>#N/A</v>
      </c>
      <c r="D995" s="20" t="e">
        <f>VLOOKUP(C995,ID!$1:$1048576,4,FALSE)</f>
        <v>#N/A</v>
      </c>
      <c r="E995" s="20" t="e">
        <f>VLOOKUP(C995,ID!$1:$1048576,3,FALSE)</f>
        <v>#N/A</v>
      </c>
      <c r="F995" s="20" t="e">
        <f>VLOOKUP(C995,ID!$1:$1048576,2,FALSE)</f>
        <v>#N/A</v>
      </c>
      <c r="G995" s="2" t="e">
        <f>VLOOKUP(D995,CORREOS!$A$2:$B$570,2,FALSE)</f>
        <v>#N/A</v>
      </c>
      <c r="H995" s="24" t="e">
        <f>VLOOKUP(A995,'Informe 2025'!$A$5:$C$164,3,FALSE)</f>
        <v>#N/A</v>
      </c>
      <c r="I995" t="e">
        <f>VLOOKUP(H995,'Informe 2025'!$C$6:$M$166,11,FALSE)</f>
        <v>#N/A</v>
      </c>
    </row>
    <row r="996" spans="2:9" x14ac:dyDescent="0.25">
      <c r="B996" t="e">
        <f>VLOOKUP(A996,'Informe 2025'!$1:$1048576,2,FALSE)</f>
        <v>#N/A</v>
      </c>
      <c r="D996" s="20" t="e">
        <f>VLOOKUP(C996,ID!$1:$1048576,4,FALSE)</f>
        <v>#N/A</v>
      </c>
      <c r="E996" s="20" t="e">
        <f>VLOOKUP(C996,ID!$1:$1048576,3,FALSE)</f>
        <v>#N/A</v>
      </c>
      <c r="F996" s="20" t="e">
        <f>VLOOKUP(C996,ID!$1:$1048576,2,FALSE)</f>
        <v>#N/A</v>
      </c>
      <c r="G996" s="2" t="e">
        <f>VLOOKUP(D996,CORREOS!$A$2:$B$570,2,FALSE)</f>
        <v>#N/A</v>
      </c>
      <c r="H996" s="24" t="e">
        <f>VLOOKUP(A996,'Informe 2025'!$A$5:$C$164,3,FALSE)</f>
        <v>#N/A</v>
      </c>
      <c r="I996" t="e">
        <f>VLOOKUP(H996,'Informe 2025'!$C$6:$M$166,11,FALSE)</f>
        <v>#N/A</v>
      </c>
    </row>
    <row r="997" spans="2:9" x14ac:dyDescent="0.25">
      <c r="B997" t="e">
        <f>VLOOKUP(A997,'Informe 2025'!$1:$1048576,2,FALSE)</f>
        <v>#N/A</v>
      </c>
      <c r="D997" s="20" t="e">
        <f>VLOOKUP(C997,ID!$1:$1048576,4,FALSE)</f>
        <v>#N/A</v>
      </c>
      <c r="E997" s="20" t="e">
        <f>VLOOKUP(C997,ID!$1:$1048576,3,FALSE)</f>
        <v>#N/A</v>
      </c>
      <c r="F997" s="20" t="e">
        <f>VLOOKUP(C997,ID!$1:$1048576,2,FALSE)</f>
        <v>#N/A</v>
      </c>
      <c r="G997" s="2" t="e">
        <f>VLOOKUP(D997,CORREOS!$A$2:$B$570,2,FALSE)</f>
        <v>#N/A</v>
      </c>
      <c r="H997" s="24" t="e">
        <f>VLOOKUP(A997,'Informe 2025'!$A$5:$C$164,3,FALSE)</f>
        <v>#N/A</v>
      </c>
      <c r="I997" t="e">
        <f>VLOOKUP(H997,'Informe 2025'!$C$6:$M$166,11,FALSE)</f>
        <v>#N/A</v>
      </c>
    </row>
    <row r="998" spans="2:9" x14ac:dyDescent="0.25">
      <c r="B998" t="e">
        <f>VLOOKUP(A998,'Informe 2025'!$1:$1048576,2,FALSE)</f>
        <v>#N/A</v>
      </c>
      <c r="D998" s="20" t="e">
        <f>VLOOKUP(C998,ID!$1:$1048576,4,FALSE)</f>
        <v>#N/A</v>
      </c>
      <c r="E998" s="20" t="e">
        <f>VLOOKUP(C998,ID!$1:$1048576,3,FALSE)</f>
        <v>#N/A</v>
      </c>
      <c r="F998" s="20" t="e">
        <f>VLOOKUP(C998,ID!$1:$1048576,2,FALSE)</f>
        <v>#N/A</v>
      </c>
      <c r="G998" s="2" t="e">
        <f>VLOOKUP(D998,CORREOS!$A$2:$B$570,2,FALSE)</f>
        <v>#N/A</v>
      </c>
      <c r="H998" s="24" t="e">
        <f>VLOOKUP(A998,'Informe 2025'!$A$5:$C$164,3,FALSE)</f>
        <v>#N/A</v>
      </c>
      <c r="I998" t="e">
        <f>VLOOKUP(H998,'Informe 2025'!$C$6:$M$166,11,FALSE)</f>
        <v>#N/A</v>
      </c>
    </row>
    <row r="999" spans="2:9" x14ac:dyDescent="0.25">
      <c r="B999" t="e">
        <f>VLOOKUP(A999,'Informe 2025'!$1:$1048576,2,FALSE)</f>
        <v>#N/A</v>
      </c>
      <c r="D999" s="20" t="e">
        <f>VLOOKUP(C999,ID!$1:$1048576,4,FALSE)</f>
        <v>#N/A</v>
      </c>
      <c r="E999" s="20" t="e">
        <f>VLOOKUP(C999,ID!$1:$1048576,3,FALSE)</f>
        <v>#N/A</v>
      </c>
      <c r="F999" s="20" t="e">
        <f>VLOOKUP(C999,ID!$1:$1048576,2,FALSE)</f>
        <v>#N/A</v>
      </c>
      <c r="G999" s="2" t="e">
        <f>VLOOKUP(D999,CORREOS!$A$2:$B$570,2,FALSE)</f>
        <v>#N/A</v>
      </c>
      <c r="H999" s="24" t="e">
        <f>VLOOKUP(A999,'Informe 2025'!$A$5:$C$164,3,FALSE)</f>
        <v>#N/A</v>
      </c>
      <c r="I999" t="e">
        <f>VLOOKUP(H999,'Informe 2025'!$C$6:$M$166,11,FALSE)</f>
        <v>#N/A</v>
      </c>
    </row>
    <row r="1000" spans="2:9" x14ac:dyDescent="0.25">
      <c r="B1000" t="e">
        <f>VLOOKUP(A1000,'Informe 2025'!$1:$1048576,2,FALSE)</f>
        <v>#N/A</v>
      </c>
      <c r="D1000" s="20" t="e">
        <f>VLOOKUP(C1000,ID!$1:$1048576,4,FALSE)</f>
        <v>#N/A</v>
      </c>
      <c r="E1000" s="20" t="e">
        <f>VLOOKUP(C1000,ID!$1:$1048576,3,FALSE)</f>
        <v>#N/A</v>
      </c>
      <c r="F1000" s="20" t="e">
        <f>VLOOKUP(C1000,ID!$1:$1048576,2,FALSE)</f>
        <v>#N/A</v>
      </c>
      <c r="G1000" s="2" t="e">
        <f>VLOOKUP(D1000,CORREOS!$A$2:$B$570,2,FALSE)</f>
        <v>#N/A</v>
      </c>
      <c r="H1000" s="24" t="e">
        <f>VLOOKUP(A1000,'Informe 2025'!$A$5:$C$164,3,FALSE)</f>
        <v>#N/A</v>
      </c>
      <c r="I1000" t="e">
        <f>VLOOKUP(H1000,'Informe 2025'!$C$6:$M$166,11,FALSE)</f>
        <v>#N/A</v>
      </c>
    </row>
    <row r="1001" spans="2:9" x14ac:dyDescent="0.25">
      <c r="B1001" t="e">
        <f>VLOOKUP(A1001,'Informe 2025'!$1:$1048576,2,FALSE)</f>
        <v>#N/A</v>
      </c>
      <c r="D1001" s="20" t="e">
        <f>VLOOKUP(C1001,ID!$1:$1048576,4,FALSE)</f>
        <v>#N/A</v>
      </c>
      <c r="E1001" s="20" t="e">
        <f>VLOOKUP(C1001,ID!$1:$1048576,3,FALSE)</f>
        <v>#N/A</v>
      </c>
      <c r="F1001" s="20" t="e">
        <f>VLOOKUP(C1001,ID!$1:$1048576,2,FALSE)</f>
        <v>#N/A</v>
      </c>
      <c r="G1001" s="2" t="e">
        <f>VLOOKUP(D1001,CORREOS!$A$2:$B$570,2,FALSE)</f>
        <v>#N/A</v>
      </c>
      <c r="H1001" s="24" t="e">
        <f>VLOOKUP(A1001,'Informe 2025'!$A$5:$C$164,3,FALSE)</f>
        <v>#N/A</v>
      </c>
      <c r="I1001" t="e">
        <f>VLOOKUP(H1001,'Informe 2025'!$C$6:$M$166,11,FALSE)</f>
        <v>#N/A</v>
      </c>
    </row>
    <row r="1002" spans="2:9" x14ac:dyDescent="0.25">
      <c r="B1002" t="e">
        <f>VLOOKUP(A1002,'Informe 2025'!$1:$1048576,2,FALSE)</f>
        <v>#N/A</v>
      </c>
      <c r="D1002" s="20" t="e">
        <f>VLOOKUP(C1002,ID!$1:$1048576,4,FALSE)</f>
        <v>#N/A</v>
      </c>
      <c r="E1002" s="20" t="e">
        <f>VLOOKUP(C1002,ID!$1:$1048576,3,FALSE)</f>
        <v>#N/A</v>
      </c>
      <c r="F1002" s="20" t="e">
        <f>VLOOKUP(C1002,ID!$1:$1048576,2,FALSE)</f>
        <v>#N/A</v>
      </c>
      <c r="G1002" s="2" t="e">
        <f>VLOOKUP(D1002,CORREOS!$A$2:$B$570,2,FALSE)</f>
        <v>#N/A</v>
      </c>
      <c r="H1002" s="24" t="e">
        <f>VLOOKUP(A1002,'Informe 2025'!$A$5:$C$164,3,FALSE)</f>
        <v>#N/A</v>
      </c>
      <c r="I1002" t="e">
        <f>VLOOKUP(H1002,'Informe 2025'!$C$6:$M$166,11,FALSE)</f>
        <v>#N/A</v>
      </c>
    </row>
    <row r="1003" spans="2:9" x14ac:dyDescent="0.25">
      <c r="B1003" t="e">
        <f>VLOOKUP(A1003,'Informe 2025'!$1:$1048576,2,FALSE)</f>
        <v>#N/A</v>
      </c>
      <c r="D1003" s="20" t="e">
        <f>VLOOKUP(C1003,ID!$1:$1048576,4,FALSE)</f>
        <v>#N/A</v>
      </c>
      <c r="E1003" s="20" t="e">
        <f>VLOOKUP(C1003,ID!$1:$1048576,3,FALSE)</f>
        <v>#N/A</v>
      </c>
      <c r="F1003" s="20" t="e">
        <f>VLOOKUP(C1003,ID!$1:$1048576,2,FALSE)</f>
        <v>#N/A</v>
      </c>
      <c r="G1003" s="2" t="e">
        <f>VLOOKUP(D1003,CORREOS!$A$2:$B$570,2,FALSE)</f>
        <v>#N/A</v>
      </c>
      <c r="H1003" s="24" t="e">
        <f>VLOOKUP(A1003,'Informe 2025'!$A$5:$C$164,3,FALSE)</f>
        <v>#N/A</v>
      </c>
      <c r="I1003" t="e">
        <f>VLOOKUP(H1003,'Informe 2025'!$C$6:$M$166,11,FALSE)</f>
        <v>#N/A</v>
      </c>
    </row>
    <row r="1004" spans="2:9" x14ac:dyDescent="0.25">
      <c r="B1004" t="e">
        <f>VLOOKUP(A1004,'Informe 2025'!$1:$1048576,2,FALSE)</f>
        <v>#N/A</v>
      </c>
      <c r="D1004" s="20" t="e">
        <f>VLOOKUP(C1004,ID!$1:$1048576,4,FALSE)</f>
        <v>#N/A</v>
      </c>
      <c r="E1004" s="20" t="e">
        <f>VLOOKUP(C1004,ID!$1:$1048576,3,FALSE)</f>
        <v>#N/A</v>
      </c>
      <c r="F1004" s="20" t="e">
        <f>VLOOKUP(C1004,ID!$1:$1048576,2,FALSE)</f>
        <v>#N/A</v>
      </c>
      <c r="G1004" s="2" t="e">
        <f>VLOOKUP(D1004,CORREOS!$A$2:$B$570,2,FALSE)</f>
        <v>#N/A</v>
      </c>
      <c r="H1004" s="24" t="e">
        <f>VLOOKUP(A1004,'Informe 2025'!$A$5:$C$164,3,FALSE)</f>
        <v>#N/A</v>
      </c>
      <c r="I1004" t="e">
        <f>VLOOKUP(H1004,'Informe 2025'!$C$6:$M$166,11,FALSE)</f>
        <v>#N/A</v>
      </c>
    </row>
    <row r="1005" spans="2:9" x14ac:dyDescent="0.25">
      <c r="B1005" t="e">
        <f>VLOOKUP(A1005,'Informe 2025'!$1:$1048576,2,FALSE)</f>
        <v>#N/A</v>
      </c>
      <c r="D1005" s="20" t="e">
        <f>VLOOKUP(C1005,ID!$1:$1048576,4,FALSE)</f>
        <v>#N/A</v>
      </c>
      <c r="E1005" s="20" t="e">
        <f>VLOOKUP(C1005,ID!$1:$1048576,3,FALSE)</f>
        <v>#N/A</v>
      </c>
      <c r="F1005" s="20" t="e">
        <f>VLOOKUP(C1005,ID!$1:$1048576,2,FALSE)</f>
        <v>#N/A</v>
      </c>
      <c r="G1005" s="2" t="e">
        <f>VLOOKUP(D1005,CORREOS!$A$2:$B$570,2,FALSE)</f>
        <v>#N/A</v>
      </c>
      <c r="H1005" s="24" t="e">
        <f>VLOOKUP(A1005,'Informe 2025'!$A$5:$C$164,3,FALSE)</f>
        <v>#N/A</v>
      </c>
      <c r="I1005" t="e">
        <f>VLOOKUP(H1005,'Informe 2025'!$C$6:$M$166,11,FALSE)</f>
        <v>#N/A</v>
      </c>
    </row>
    <row r="1006" spans="2:9" x14ac:dyDescent="0.25">
      <c r="B1006" t="e">
        <f>VLOOKUP(A1006,'Informe 2025'!$1:$1048576,2,FALSE)</f>
        <v>#N/A</v>
      </c>
      <c r="D1006" s="20" t="e">
        <f>VLOOKUP(C1006,ID!$1:$1048576,4,FALSE)</f>
        <v>#N/A</v>
      </c>
      <c r="E1006" s="20" t="e">
        <f>VLOOKUP(C1006,ID!$1:$1048576,3,FALSE)</f>
        <v>#N/A</v>
      </c>
      <c r="F1006" s="20" t="e">
        <f>VLOOKUP(C1006,ID!$1:$1048576,2,FALSE)</f>
        <v>#N/A</v>
      </c>
      <c r="G1006" s="2" t="e">
        <f>VLOOKUP(D1006,CORREOS!$A$2:$B$570,2,FALSE)</f>
        <v>#N/A</v>
      </c>
      <c r="H1006" s="24" t="e">
        <f>VLOOKUP(A1006,'Informe 2025'!$A$5:$C$164,3,FALSE)</f>
        <v>#N/A</v>
      </c>
      <c r="I1006" t="e">
        <f>VLOOKUP(H1006,'Informe 2025'!$C$6:$M$166,11,FALSE)</f>
        <v>#N/A</v>
      </c>
    </row>
  </sheetData>
  <autoFilter ref="A1:H1006" xr:uid="{BC979629-B1AE-4D9E-8154-19A0D7785493}"/>
  <phoneticPr fontId="9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D0DE-DA08-43A6-8E2E-6B21D05644DA}">
  <dimension ref="A1:B5"/>
  <sheetViews>
    <sheetView workbookViewId="0">
      <selection activeCell="H5" sqref="H5"/>
    </sheetView>
  </sheetViews>
  <sheetFormatPr baseColWidth="10" defaultRowHeight="15" x14ac:dyDescent="0.25"/>
  <cols>
    <col min="1" max="1" width="19.140625" style="20" bestFit="1" customWidth="1"/>
    <col min="2" max="2" width="40" style="20" bestFit="1" customWidth="1"/>
  </cols>
  <sheetData>
    <row r="1" spans="1:2" x14ac:dyDescent="0.25">
      <c r="A1" s="1" t="s">
        <v>1</v>
      </c>
      <c r="B1" s="20" t="s">
        <v>23</v>
      </c>
    </row>
    <row r="2" spans="1:2" x14ac:dyDescent="0.25">
      <c r="A2" s="1" t="s">
        <v>24</v>
      </c>
      <c r="B2" s="20" t="s">
        <v>25</v>
      </c>
    </row>
    <row r="3" spans="1:2" x14ac:dyDescent="0.25">
      <c r="A3" s="1" t="s">
        <v>15</v>
      </c>
      <c r="B3" s="20" t="s">
        <v>28</v>
      </c>
    </row>
    <row r="4" spans="1:2" x14ac:dyDescent="0.25">
      <c r="A4" s="1" t="s">
        <v>16</v>
      </c>
      <c r="B4" s="20" t="s">
        <v>26</v>
      </c>
    </row>
    <row r="5" spans="1:2" x14ac:dyDescent="0.25">
      <c r="A5" s="1" t="s">
        <v>22</v>
      </c>
      <c r="B5" s="20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26A0-138B-451D-A9A7-43581835B847}">
  <dimension ref="A1:D596"/>
  <sheetViews>
    <sheetView topLeftCell="A377" workbookViewId="0">
      <selection activeCell="A394" sqref="A394"/>
    </sheetView>
  </sheetViews>
  <sheetFormatPr baseColWidth="10" defaultRowHeight="15" x14ac:dyDescent="0.25"/>
  <cols>
    <col min="2" max="2" width="23.85546875" customWidth="1"/>
    <col min="3" max="3" width="23.28515625" customWidth="1"/>
    <col min="10" max="10" width="52.140625" customWidth="1"/>
  </cols>
  <sheetData>
    <row r="1" spans="1:4" x14ac:dyDescent="0.25">
      <c r="A1" s="25" t="s">
        <v>235</v>
      </c>
      <c r="B1" s="25" t="s">
        <v>878</v>
      </c>
      <c r="C1" s="25" t="s">
        <v>124</v>
      </c>
      <c r="D1" t="s">
        <v>535</v>
      </c>
    </row>
    <row r="2" spans="1:4" x14ac:dyDescent="0.25">
      <c r="A2" s="25" t="s">
        <v>236</v>
      </c>
      <c r="B2" s="25" t="s">
        <v>879</v>
      </c>
      <c r="C2" s="25" t="s">
        <v>880</v>
      </c>
      <c r="D2" t="s">
        <v>536</v>
      </c>
    </row>
    <row r="3" spans="1:4" x14ac:dyDescent="0.25">
      <c r="A3" s="25" t="s">
        <v>237</v>
      </c>
      <c r="B3" s="25" t="s">
        <v>98</v>
      </c>
      <c r="C3" s="25" t="s">
        <v>99</v>
      </c>
      <c r="D3" t="s">
        <v>537</v>
      </c>
    </row>
    <row r="4" spans="1:4" x14ac:dyDescent="0.25">
      <c r="A4" s="25" t="s">
        <v>238</v>
      </c>
      <c r="B4" s="25" t="s">
        <v>881</v>
      </c>
      <c r="C4" s="25" t="s">
        <v>882</v>
      </c>
      <c r="D4" t="s">
        <v>538</v>
      </c>
    </row>
    <row r="5" spans="1:4" x14ac:dyDescent="0.25">
      <c r="A5" s="25" t="s">
        <v>239</v>
      </c>
      <c r="B5" s="25" t="s">
        <v>883</v>
      </c>
      <c r="C5" s="25" t="s">
        <v>884</v>
      </c>
      <c r="D5" t="s">
        <v>539</v>
      </c>
    </row>
    <row r="6" spans="1:4" x14ac:dyDescent="0.25">
      <c r="A6" s="25" t="s">
        <v>240</v>
      </c>
      <c r="B6" s="25" t="s">
        <v>885</v>
      </c>
      <c r="C6" s="25" t="s">
        <v>886</v>
      </c>
      <c r="D6" t="s">
        <v>540</v>
      </c>
    </row>
    <row r="7" spans="1:4" x14ac:dyDescent="0.25">
      <c r="A7" s="25" t="s">
        <v>241</v>
      </c>
      <c r="B7" s="25" t="s">
        <v>887</v>
      </c>
      <c r="C7" s="25" t="s">
        <v>888</v>
      </c>
      <c r="D7" t="s">
        <v>541</v>
      </c>
    </row>
    <row r="8" spans="1:4" x14ac:dyDescent="0.25">
      <c r="A8" s="25" t="s">
        <v>242</v>
      </c>
      <c r="B8" s="25" t="s">
        <v>889</v>
      </c>
      <c r="C8" s="25" t="s">
        <v>890</v>
      </c>
      <c r="D8" t="s">
        <v>542</v>
      </c>
    </row>
    <row r="9" spans="1:4" x14ac:dyDescent="0.25">
      <c r="A9" s="25" t="s">
        <v>1621</v>
      </c>
      <c r="B9" s="25" t="s">
        <v>1668</v>
      </c>
      <c r="C9" s="25" t="s">
        <v>1669</v>
      </c>
      <c r="D9" t="s">
        <v>1758</v>
      </c>
    </row>
    <row r="10" spans="1:4" x14ac:dyDescent="0.25">
      <c r="A10" s="25" t="s">
        <v>243</v>
      </c>
      <c r="B10" s="25" t="s">
        <v>891</v>
      </c>
      <c r="C10" s="25" t="s">
        <v>892</v>
      </c>
      <c r="D10" t="s">
        <v>544</v>
      </c>
    </row>
    <row r="11" spans="1:4" x14ac:dyDescent="0.25">
      <c r="A11" s="25" t="s">
        <v>244</v>
      </c>
      <c r="B11" s="25" t="s">
        <v>893</v>
      </c>
      <c r="C11" s="25" t="s">
        <v>894</v>
      </c>
      <c r="D11" t="s">
        <v>545</v>
      </c>
    </row>
    <row r="12" spans="1:4" x14ac:dyDescent="0.25">
      <c r="A12" s="25" t="s">
        <v>245</v>
      </c>
      <c r="B12" s="25" t="s">
        <v>895</v>
      </c>
      <c r="C12" s="25" t="s">
        <v>896</v>
      </c>
      <c r="D12" t="s">
        <v>547</v>
      </c>
    </row>
    <row r="13" spans="1:4" x14ac:dyDescent="0.25">
      <c r="A13" s="25" t="s">
        <v>246</v>
      </c>
      <c r="B13" s="25" t="s">
        <v>897</v>
      </c>
      <c r="C13" s="25" t="s">
        <v>898</v>
      </c>
      <c r="D13" t="s">
        <v>548</v>
      </c>
    </row>
    <row r="14" spans="1:4" x14ac:dyDescent="0.25">
      <c r="A14" s="25" t="s">
        <v>247</v>
      </c>
      <c r="B14" s="25" t="s">
        <v>897</v>
      </c>
      <c r="C14" s="25" t="s">
        <v>899</v>
      </c>
      <c r="D14" t="s">
        <v>549</v>
      </c>
    </row>
    <row r="15" spans="1:4" x14ac:dyDescent="0.25">
      <c r="A15" s="25" t="s">
        <v>1622</v>
      </c>
      <c r="B15" s="25" t="s">
        <v>1670</v>
      </c>
      <c r="C15" s="25" t="s">
        <v>1671</v>
      </c>
      <c r="D15" t="s">
        <v>1759</v>
      </c>
    </row>
    <row r="16" spans="1:4" x14ac:dyDescent="0.25">
      <c r="A16" s="25" t="s">
        <v>248</v>
      </c>
      <c r="B16" s="25" t="s">
        <v>900</v>
      </c>
      <c r="C16" s="25" t="s">
        <v>173</v>
      </c>
      <c r="D16" t="s">
        <v>550</v>
      </c>
    </row>
    <row r="17" spans="1:4" x14ac:dyDescent="0.25">
      <c r="A17" s="25" t="s">
        <v>249</v>
      </c>
      <c r="B17" s="25" t="s">
        <v>901</v>
      </c>
      <c r="C17" s="25" t="s">
        <v>902</v>
      </c>
      <c r="D17" t="s">
        <v>551</v>
      </c>
    </row>
    <row r="18" spans="1:4" x14ac:dyDescent="0.25">
      <c r="A18" s="25" t="s">
        <v>1623</v>
      </c>
      <c r="B18" s="25" t="s">
        <v>1672</v>
      </c>
      <c r="C18" s="25" t="s">
        <v>1673</v>
      </c>
      <c r="D18" t="s">
        <v>1760</v>
      </c>
    </row>
    <row r="19" spans="1:4" x14ac:dyDescent="0.25">
      <c r="A19" s="25" t="s">
        <v>250</v>
      </c>
      <c r="B19" s="25" t="s">
        <v>903</v>
      </c>
      <c r="C19" s="25" t="s">
        <v>904</v>
      </c>
      <c r="D19" t="s">
        <v>553</v>
      </c>
    </row>
    <row r="20" spans="1:4" x14ac:dyDescent="0.25">
      <c r="A20" s="25" t="s">
        <v>251</v>
      </c>
      <c r="B20" s="25" t="s">
        <v>101</v>
      </c>
      <c r="C20" s="25" t="s">
        <v>43</v>
      </c>
      <c r="D20" t="s">
        <v>554</v>
      </c>
    </row>
    <row r="21" spans="1:4" x14ac:dyDescent="0.25">
      <c r="A21" s="25" t="s">
        <v>252</v>
      </c>
      <c r="B21" s="25" t="s">
        <v>905</v>
      </c>
      <c r="C21" s="25" t="s">
        <v>906</v>
      </c>
      <c r="D21" t="s">
        <v>555</v>
      </c>
    </row>
    <row r="22" spans="1:4" x14ac:dyDescent="0.25">
      <c r="A22" s="25" t="s">
        <v>1624</v>
      </c>
      <c r="B22" s="25" t="s">
        <v>1674</v>
      </c>
      <c r="C22" s="25" t="s">
        <v>1330</v>
      </c>
      <c r="D22" t="s">
        <v>1761</v>
      </c>
    </row>
    <row r="23" spans="1:4" x14ac:dyDescent="0.25">
      <c r="A23" s="25" t="s">
        <v>253</v>
      </c>
      <c r="B23" s="25" t="s">
        <v>907</v>
      </c>
      <c r="C23" s="25" t="s">
        <v>908</v>
      </c>
      <c r="D23" t="s">
        <v>556</v>
      </c>
    </row>
    <row r="24" spans="1:4" x14ac:dyDescent="0.25">
      <c r="A24" s="25" t="s">
        <v>254</v>
      </c>
      <c r="B24" s="25" t="s">
        <v>909</v>
      </c>
      <c r="C24" s="25" t="s">
        <v>1675</v>
      </c>
      <c r="D24" t="s">
        <v>557</v>
      </c>
    </row>
    <row r="25" spans="1:4" x14ac:dyDescent="0.25">
      <c r="A25" s="25" t="s">
        <v>255</v>
      </c>
      <c r="B25" s="25" t="s">
        <v>103</v>
      </c>
      <c r="C25" s="25" t="s">
        <v>104</v>
      </c>
      <c r="D25" t="s">
        <v>558</v>
      </c>
    </row>
    <row r="26" spans="1:4" x14ac:dyDescent="0.25">
      <c r="A26" s="25" t="s">
        <v>256</v>
      </c>
      <c r="B26" s="25" t="s">
        <v>910</v>
      </c>
      <c r="C26" s="25" t="s">
        <v>911</v>
      </c>
      <c r="D26" t="s">
        <v>559</v>
      </c>
    </row>
    <row r="27" spans="1:4" x14ac:dyDescent="0.25">
      <c r="A27" s="25" t="s">
        <v>257</v>
      </c>
      <c r="B27" s="25" t="s">
        <v>912</v>
      </c>
      <c r="C27" s="25" t="s">
        <v>913</v>
      </c>
      <c r="D27" t="s">
        <v>560</v>
      </c>
    </row>
    <row r="28" spans="1:4" x14ac:dyDescent="0.25">
      <c r="A28" s="25" t="s">
        <v>1625</v>
      </c>
      <c r="B28" s="25" t="s">
        <v>1676</v>
      </c>
      <c r="C28" s="25" t="s">
        <v>1677</v>
      </c>
      <c r="D28" t="s">
        <v>1762</v>
      </c>
    </row>
    <row r="29" spans="1:4" x14ac:dyDescent="0.25">
      <c r="A29" s="25" t="s">
        <v>258</v>
      </c>
      <c r="B29" s="25" t="s">
        <v>914</v>
      </c>
      <c r="C29" s="25" t="s">
        <v>915</v>
      </c>
      <c r="D29" t="s">
        <v>561</v>
      </c>
    </row>
    <row r="30" spans="1:4" x14ac:dyDescent="0.25">
      <c r="A30" s="25" t="s">
        <v>259</v>
      </c>
      <c r="B30" s="25" t="s">
        <v>916</v>
      </c>
      <c r="C30" s="25" t="s">
        <v>917</v>
      </c>
      <c r="D30" t="s">
        <v>563</v>
      </c>
    </row>
    <row r="31" spans="1:4" x14ac:dyDescent="0.25">
      <c r="A31" s="25" t="s">
        <v>260</v>
      </c>
      <c r="B31" s="25" t="s">
        <v>918</v>
      </c>
      <c r="C31" s="25" t="s">
        <v>919</v>
      </c>
      <c r="D31" t="s">
        <v>564</v>
      </c>
    </row>
    <row r="32" spans="1:4" x14ac:dyDescent="0.25">
      <c r="A32" s="25" t="s">
        <v>261</v>
      </c>
      <c r="B32" s="25" t="s">
        <v>920</v>
      </c>
      <c r="C32" s="25" t="s">
        <v>921</v>
      </c>
      <c r="D32" t="s">
        <v>565</v>
      </c>
    </row>
    <row r="33" spans="1:4" x14ac:dyDescent="0.25">
      <c r="A33" s="25" t="s">
        <v>262</v>
      </c>
      <c r="B33" s="25" t="s">
        <v>922</v>
      </c>
      <c r="C33" s="25" t="s">
        <v>923</v>
      </c>
      <c r="D33" t="s">
        <v>566</v>
      </c>
    </row>
    <row r="34" spans="1:4" x14ac:dyDescent="0.25">
      <c r="A34" s="25" t="s">
        <v>263</v>
      </c>
      <c r="B34" s="25" t="s">
        <v>924</v>
      </c>
      <c r="C34" s="25" t="s">
        <v>925</v>
      </c>
      <c r="D34" t="s">
        <v>567</v>
      </c>
    </row>
    <row r="35" spans="1:4" x14ac:dyDescent="0.25">
      <c r="A35" s="25" t="s">
        <v>1626</v>
      </c>
      <c r="B35" s="25" t="s">
        <v>1678</v>
      </c>
      <c r="C35" s="25" t="s">
        <v>1679</v>
      </c>
      <c r="D35" t="s">
        <v>1763</v>
      </c>
    </row>
    <row r="36" spans="1:4" x14ac:dyDescent="0.25">
      <c r="A36" s="25" t="s">
        <v>264</v>
      </c>
      <c r="B36" s="25" t="s">
        <v>926</v>
      </c>
      <c r="C36" s="25" t="s">
        <v>927</v>
      </c>
      <c r="D36" t="s">
        <v>568</v>
      </c>
    </row>
    <row r="37" spans="1:4" x14ac:dyDescent="0.25">
      <c r="A37" s="25" t="s">
        <v>1627</v>
      </c>
      <c r="B37" s="25" t="s">
        <v>1680</v>
      </c>
      <c r="C37" s="25" t="s">
        <v>1681</v>
      </c>
      <c r="D37" t="s">
        <v>1764</v>
      </c>
    </row>
    <row r="38" spans="1:4" x14ac:dyDescent="0.25">
      <c r="A38" s="25" t="s">
        <v>1628</v>
      </c>
      <c r="B38" s="25" t="s">
        <v>1680</v>
      </c>
      <c r="C38" s="25" t="s">
        <v>1682</v>
      </c>
      <c r="D38" t="s">
        <v>1765</v>
      </c>
    </row>
    <row r="39" spans="1:4" x14ac:dyDescent="0.25">
      <c r="A39" s="25" t="s">
        <v>265</v>
      </c>
      <c r="B39" s="25" t="s">
        <v>928</v>
      </c>
      <c r="C39" s="25" t="s">
        <v>929</v>
      </c>
      <c r="D39" t="s">
        <v>569</v>
      </c>
    </row>
    <row r="40" spans="1:4" x14ac:dyDescent="0.25">
      <c r="A40" s="25" t="s">
        <v>266</v>
      </c>
      <c r="B40" s="25" t="s">
        <v>930</v>
      </c>
      <c r="C40" s="25" t="s">
        <v>931</v>
      </c>
      <c r="D40" t="s">
        <v>571</v>
      </c>
    </row>
    <row r="41" spans="1:4" x14ac:dyDescent="0.25">
      <c r="A41" s="25" t="s">
        <v>267</v>
      </c>
      <c r="B41" s="25" t="s">
        <v>932</v>
      </c>
      <c r="C41" s="25" t="s">
        <v>933</v>
      </c>
      <c r="D41" t="s">
        <v>572</v>
      </c>
    </row>
    <row r="42" spans="1:4" x14ac:dyDescent="0.25">
      <c r="A42" s="25" t="s">
        <v>268</v>
      </c>
      <c r="B42" s="25" t="s">
        <v>934</v>
      </c>
      <c r="C42" s="25" t="s">
        <v>935</v>
      </c>
      <c r="D42" t="s">
        <v>573</v>
      </c>
    </row>
    <row r="43" spans="1:4" x14ac:dyDescent="0.25">
      <c r="A43" s="25" t="s">
        <v>269</v>
      </c>
      <c r="B43" s="25" t="s">
        <v>936</v>
      </c>
      <c r="C43" s="25" t="s">
        <v>937</v>
      </c>
      <c r="D43" t="s">
        <v>574</v>
      </c>
    </row>
    <row r="44" spans="1:4" x14ac:dyDescent="0.25">
      <c r="A44" s="25" t="s">
        <v>270</v>
      </c>
      <c r="B44" s="25" t="s">
        <v>938</v>
      </c>
      <c r="C44" s="25" t="s">
        <v>939</v>
      </c>
      <c r="D44" t="s">
        <v>575</v>
      </c>
    </row>
    <row r="45" spans="1:4" x14ac:dyDescent="0.25">
      <c r="A45" s="25" t="s">
        <v>271</v>
      </c>
      <c r="B45" s="25" t="s">
        <v>940</v>
      </c>
      <c r="C45" s="25" t="s">
        <v>941</v>
      </c>
      <c r="D45" t="s">
        <v>576</v>
      </c>
    </row>
    <row r="46" spans="1:4" x14ac:dyDescent="0.25">
      <c r="A46" s="25" t="s">
        <v>272</v>
      </c>
      <c r="B46" s="25" t="s">
        <v>942</v>
      </c>
      <c r="C46" s="25" t="s">
        <v>943</v>
      </c>
      <c r="D46" t="s">
        <v>577</v>
      </c>
    </row>
    <row r="47" spans="1:4" x14ac:dyDescent="0.25">
      <c r="A47" s="25" t="s">
        <v>273</v>
      </c>
      <c r="B47" s="25" t="s">
        <v>944</v>
      </c>
      <c r="C47" s="25" t="s">
        <v>945</v>
      </c>
      <c r="D47" t="s">
        <v>578</v>
      </c>
    </row>
    <row r="48" spans="1:4" x14ac:dyDescent="0.25">
      <c r="A48" s="25" t="s">
        <v>274</v>
      </c>
      <c r="B48" s="25" t="s">
        <v>946</v>
      </c>
      <c r="C48" s="25" t="s">
        <v>947</v>
      </c>
      <c r="D48" t="s">
        <v>579</v>
      </c>
    </row>
    <row r="49" spans="1:4" x14ac:dyDescent="0.25">
      <c r="A49" s="25" t="s">
        <v>1629</v>
      </c>
      <c r="B49" s="25" t="s">
        <v>1683</v>
      </c>
      <c r="C49" s="25" t="s">
        <v>1684</v>
      </c>
      <c r="D49" t="s">
        <v>1766</v>
      </c>
    </row>
    <row r="50" spans="1:4" x14ac:dyDescent="0.25">
      <c r="A50" s="25" t="s">
        <v>275</v>
      </c>
      <c r="B50" s="25" t="s">
        <v>83</v>
      </c>
      <c r="C50" s="25" t="s">
        <v>84</v>
      </c>
      <c r="D50" t="s">
        <v>580</v>
      </c>
    </row>
    <row r="51" spans="1:4" x14ac:dyDescent="0.25">
      <c r="A51" s="25" t="s">
        <v>1630</v>
      </c>
      <c r="B51" s="25" t="s">
        <v>1685</v>
      </c>
      <c r="C51" s="25" t="s">
        <v>1686</v>
      </c>
      <c r="D51" t="s">
        <v>1767</v>
      </c>
    </row>
    <row r="52" spans="1:4" x14ac:dyDescent="0.25">
      <c r="A52" s="25" t="s">
        <v>276</v>
      </c>
      <c r="B52" s="25" t="s">
        <v>948</v>
      </c>
      <c r="C52" s="25" t="s">
        <v>949</v>
      </c>
      <c r="D52" t="s">
        <v>581</v>
      </c>
    </row>
    <row r="53" spans="1:4" x14ac:dyDescent="0.25">
      <c r="A53" s="25" t="s">
        <v>1631</v>
      </c>
      <c r="B53" s="25" t="s">
        <v>1687</v>
      </c>
      <c r="C53" s="25" t="s">
        <v>1688</v>
      </c>
      <c r="D53" t="s">
        <v>1768</v>
      </c>
    </row>
    <row r="54" spans="1:4" x14ac:dyDescent="0.25">
      <c r="A54" s="25" t="s">
        <v>277</v>
      </c>
      <c r="B54" s="25" t="s">
        <v>950</v>
      </c>
      <c r="C54" s="25" t="s">
        <v>951</v>
      </c>
      <c r="D54" t="s">
        <v>582</v>
      </c>
    </row>
    <row r="55" spans="1:4" x14ac:dyDescent="0.25">
      <c r="A55" s="25" t="s">
        <v>278</v>
      </c>
      <c r="B55" s="25" t="s">
        <v>48</v>
      </c>
      <c r="C55" s="25" t="s">
        <v>952</v>
      </c>
      <c r="D55" t="s">
        <v>583</v>
      </c>
    </row>
    <row r="56" spans="1:4" x14ac:dyDescent="0.25">
      <c r="A56" s="25" t="s">
        <v>1632</v>
      </c>
      <c r="B56" s="25" t="s">
        <v>1689</v>
      </c>
      <c r="C56" s="25" t="s">
        <v>1690</v>
      </c>
      <c r="D56" t="s">
        <v>1769</v>
      </c>
    </row>
    <row r="57" spans="1:4" x14ac:dyDescent="0.25">
      <c r="A57" s="25" t="s">
        <v>1633</v>
      </c>
      <c r="B57" s="25" t="s">
        <v>1691</v>
      </c>
      <c r="C57" s="25" t="s">
        <v>1692</v>
      </c>
      <c r="D57" t="s">
        <v>1770</v>
      </c>
    </row>
    <row r="58" spans="1:4" x14ac:dyDescent="0.25">
      <c r="A58" s="25" t="s">
        <v>1634</v>
      </c>
      <c r="B58" s="25" t="s">
        <v>1693</v>
      </c>
      <c r="C58" s="25" t="s">
        <v>1694</v>
      </c>
      <c r="D58" t="s">
        <v>1771</v>
      </c>
    </row>
    <row r="59" spans="1:4" x14ac:dyDescent="0.25">
      <c r="A59" s="25" t="s">
        <v>279</v>
      </c>
      <c r="B59" s="25" t="s">
        <v>953</v>
      </c>
      <c r="C59" s="25" t="s">
        <v>954</v>
      </c>
      <c r="D59" t="s">
        <v>584</v>
      </c>
    </row>
    <row r="60" spans="1:4" x14ac:dyDescent="0.25">
      <c r="A60" s="25" t="s">
        <v>1635</v>
      </c>
      <c r="B60" s="25" t="s">
        <v>1695</v>
      </c>
      <c r="C60" s="25" t="s">
        <v>1696</v>
      </c>
      <c r="D60" t="s">
        <v>1772</v>
      </c>
    </row>
    <row r="61" spans="1:4" x14ac:dyDescent="0.25">
      <c r="A61" s="25" t="s">
        <v>280</v>
      </c>
      <c r="B61" s="25" t="s">
        <v>955</v>
      </c>
      <c r="C61" s="25" t="s">
        <v>956</v>
      </c>
      <c r="D61" t="s">
        <v>587</v>
      </c>
    </row>
    <row r="62" spans="1:4" x14ac:dyDescent="0.25">
      <c r="A62" s="25" t="s">
        <v>281</v>
      </c>
      <c r="B62" s="25" t="s">
        <v>957</v>
      </c>
      <c r="C62" s="25" t="s">
        <v>958</v>
      </c>
      <c r="D62" t="s">
        <v>588</v>
      </c>
    </row>
    <row r="63" spans="1:4" x14ac:dyDescent="0.25">
      <c r="A63" s="25" t="s">
        <v>282</v>
      </c>
      <c r="B63" s="25" t="s">
        <v>959</v>
      </c>
      <c r="C63" s="25" t="s">
        <v>960</v>
      </c>
      <c r="D63" t="s">
        <v>589</v>
      </c>
    </row>
    <row r="64" spans="1:4" x14ac:dyDescent="0.25">
      <c r="A64" s="25" t="s">
        <v>283</v>
      </c>
      <c r="B64" s="25" t="s">
        <v>961</v>
      </c>
      <c r="C64" s="25" t="s">
        <v>962</v>
      </c>
      <c r="D64" t="s">
        <v>590</v>
      </c>
    </row>
    <row r="65" spans="1:4" x14ac:dyDescent="0.25">
      <c r="A65" s="25" t="s">
        <v>284</v>
      </c>
      <c r="B65" s="25" t="s">
        <v>963</v>
      </c>
      <c r="C65" s="25" t="s">
        <v>964</v>
      </c>
      <c r="D65" t="s">
        <v>591</v>
      </c>
    </row>
    <row r="66" spans="1:4" x14ac:dyDescent="0.25">
      <c r="A66" s="25" t="s">
        <v>285</v>
      </c>
      <c r="B66" s="25" t="s">
        <v>106</v>
      </c>
      <c r="C66" s="25" t="s">
        <v>107</v>
      </c>
      <c r="D66" t="s">
        <v>592</v>
      </c>
    </row>
    <row r="67" spans="1:4" x14ac:dyDescent="0.25">
      <c r="A67" s="25" t="s">
        <v>1636</v>
      </c>
      <c r="B67" s="25" t="s">
        <v>1697</v>
      </c>
      <c r="C67" s="25" t="s">
        <v>1698</v>
      </c>
      <c r="D67" t="s">
        <v>1773</v>
      </c>
    </row>
    <row r="68" spans="1:4" x14ac:dyDescent="0.25">
      <c r="A68" s="25" t="s">
        <v>286</v>
      </c>
      <c r="B68" s="26" t="s">
        <v>109</v>
      </c>
      <c r="C68" s="26" t="s">
        <v>110</v>
      </c>
      <c r="D68" t="s">
        <v>593</v>
      </c>
    </row>
    <row r="69" spans="1:4" x14ac:dyDescent="0.25">
      <c r="A69" s="25" t="s">
        <v>287</v>
      </c>
      <c r="B69" s="25" t="s">
        <v>965</v>
      </c>
      <c r="C69" s="25" t="s">
        <v>966</v>
      </c>
      <c r="D69" t="s">
        <v>594</v>
      </c>
    </row>
    <row r="70" spans="1:4" x14ac:dyDescent="0.25">
      <c r="A70" s="25" t="s">
        <v>288</v>
      </c>
      <c r="B70" s="25" t="s">
        <v>967</v>
      </c>
      <c r="C70" s="25" t="s">
        <v>968</v>
      </c>
      <c r="D70" t="s">
        <v>595</v>
      </c>
    </row>
    <row r="71" spans="1:4" x14ac:dyDescent="0.25">
      <c r="A71" s="25" t="s">
        <v>289</v>
      </c>
      <c r="B71" s="25" t="s">
        <v>969</v>
      </c>
      <c r="C71" s="25" t="s">
        <v>970</v>
      </c>
      <c r="D71" t="s">
        <v>596</v>
      </c>
    </row>
    <row r="72" spans="1:4" x14ac:dyDescent="0.25">
      <c r="A72" s="25" t="s">
        <v>290</v>
      </c>
      <c r="B72" s="25" t="s">
        <v>971</v>
      </c>
      <c r="C72" s="25" t="s">
        <v>972</v>
      </c>
      <c r="D72" t="s">
        <v>597</v>
      </c>
    </row>
    <row r="73" spans="1:4" x14ac:dyDescent="0.25">
      <c r="A73" s="25" t="s">
        <v>291</v>
      </c>
      <c r="B73" s="25" t="s">
        <v>973</v>
      </c>
      <c r="C73" s="25" t="s">
        <v>951</v>
      </c>
      <c r="D73" t="s">
        <v>598</v>
      </c>
    </row>
    <row r="74" spans="1:4" x14ac:dyDescent="0.25">
      <c r="A74" s="25" t="s">
        <v>292</v>
      </c>
      <c r="B74" s="25" t="s">
        <v>974</v>
      </c>
      <c r="C74" s="25" t="s">
        <v>975</v>
      </c>
      <c r="D74" t="s">
        <v>599</v>
      </c>
    </row>
    <row r="75" spans="1:4" x14ac:dyDescent="0.25">
      <c r="A75" s="25" t="s">
        <v>293</v>
      </c>
      <c r="B75" s="25" t="s">
        <v>112</v>
      </c>
      <c r="C75" s="25" t="s">
        <v>113</v>
      </c>
      <c r="D75" t="s">
        <v>600</v>
      </c>
    </row>
    <row r="76" spans="1:4" x14ac:dyDescent="0.25">
      <c r="A76" s="25" t="s">
        <v>294</v>
      </c>
      <c r="B76" s="25" t="s">
        <v>976</v>
      </c>
      <c r="C76" s="25" t="s">
        <v>977</v>
      </c>
      <c r="D76" t="s">
        <v>601</v>
      </c>
    </row>
    <row r="77" spans="1:4" x14ac:dyDescent="0.25">
      <c r="A77" s="25" t="s">
        <v>295</v>
      </c>
      <c r="B77" s="25" t="s">
        <v>978</v>
      </c>
      <c r="C77" s="25" t="s">
        <v>979</v>
      </c>
      <c r="D77" t="s">
        <v>602</v>
      </c>
    </row>
    <row r="78" spans="1:4" x14ac:dyDescent="0.25">
      <c r="A78" s="25" t="s">
        <v>296</v>
      </c>
      <c r="B78" s="25" t="s">
        <v>980</v>
      </c>
      <c r="C78" s="25" t="s">
        <v>981</v>
      </c>
      <c r="D78" t="s">
        <v>603</v>
      </c>
    </row>
    <row r="79" spans="1:4" x14ac:dyDescent="0.25">
      <c r="A79" s="25" t="s">
        <v>297</v>
      </c>
      <c r="B79" s="25" t="s">
        <v>982</v>
      </c>
      <c r="C79" s="25" t="s">
        <v>134</v>
      </c>
      <c r="D79" t="s">
        <v>604</v>
      </c>
    </row>
    <row r="80" spans="1:4" x14ac:dyDescent="0.25">
      <c r="A80" s="25" t="s">
        <v>298</v>
      </c>
      <c r="B80" s="25" t="s">
        <v>983</v>
      </c>
      <c r="C80" s="25" t="s">
        <v>984</v>
      </c>
      <c r="D80" t="s">
        <v>605</v>
      </c>
    </row>
    <row r="81" spans="1:4" x14ac:dyDescent="0.25">
      <c r="A81" s="25" t="s">
        <v>299</v>
      </c>
      <c r="B81" s="25" t="s">
        <v>985</v>
      </c>
      <c r="C81" s="25" t="s">
        <v>986</v>
      </c>
      <c r="D81" t="s">
        <v>606</v>
      </c>
    </row>
    <row r="82" spans="1:4" x14ac:dyDescent="0.25">
      <c r="A82" s="25" t="s">
        <v>300</v>
      </c>
      <c r="B82" s="25" t="s">
        <v>987</v>
      </c>
      <c r="C82" s="25" t="s">
        <v>988</v>
      </c>
      <c r="D82" t="s">
        <v>608</v>
      </c>
    </row>
    <row r="83" spans="1:4" x14ac:dyDescent="0.25">
      <c r="A83" s="25" t="s">
        <v>301</v>
      </c>
      <c r="B83" s="25" t="s">
        <v>76</v>
      </c>
      <c r="C83" s="25" t="s">
        <v>86</v>
      </c>
      <c r="D83" t="s">
        <v>609</v>
      </c>
    </row>
    <row r="84" spans="1:4" x14ac:dyDescent="0.25">
      <c r="A84" s="25" t="s">
        <v>302</v>
      </c>
      <c r="B84" s="25" t="s">
        <v>989</v>
      </c>
      <c r="C84" s="25" t="s">
        <v>990</v>
      </c>
      <c r="D84" t="s">
        <v>611</v>
      </c>
    </row>
    <row r="85" spans="1:4" x14ac:dyDescent="0.25">
      <c r="A85" s="25" t="s">
        <v>1637</v>
      </c>
      <c r="B85" s="25" t="s">
        <v>1699</v>
      </c>
      <c r="C85" s="25" t="s">
        <v>1700</v>
      </c>
      <c r="D85" t="s">
        <v>1774</v>
      </c>
    </row>
    <row r="86" spans="1:4" x14ac:dyDescent="0.25">
      <c r="A86" s="25" t="s">
        <v>303</v>
      </c>
      <c r="B86" s="26" t="s">
        <v>115</v>
      </c>
      <c r="C86" s="26" t="s">
        <v>116</v>
      </c>
      <c r="D86" t="s">
        <v>612</v>
      </c>
    </row>
    <row r="87" spans="1:4" x14ac:dyDescent="0.25">
      <c r="A87" s="25" t="s">
        <v>1638</v>
      </c>
      <c r="B87" s="25" t="s">
        <v>1701</v>
      </c>
      <c r="C87" s="25" t="s">
        <v>1702</v>
      </c>
      <c r="D87" t="s">
        <v>1775</v>
      </c>
    </row>
    <row r="88" spans="1:4" x14ac:dyDescent="0.25">
      <c r="A88" s="25" t="s">
        <v>304</v>
      </c>
      <c r="B88" s="25" t="s">
        <v>991</v>
      </c>
      <c r="C88" s="25" t="s">
        <v>992</v>
      </c>
      <c r="D88" t="s">
        <v>613</v>
      </c>
    </row>
    <row r="89" spans="1:4" x14ac:dyDescent="0.25">
      <c r="A89" s="25" t="s">
        <v>305</v>
      </c>
      <c r="B89" s="25" t="s">
        <v>993</v>
      </c>
      <c r="C89" s="25" t="s">
        <v>994</v>
      </c>
      <c r="D89" t="s">
        <v>614</v>
      </c>
    </row>
    <row r="90" spans="1:4" x14ac:dyDescent="0.25">
      <c r="A90" s="25" t="s">
        <v>306</v>
      </c>
      <c r="B90" s="25" t="s">
        <v>995</v>
      </c>
      <c r="C90" s="25" t="s">
        <v>996</v>
      </c>
      <c r="D90" t="s">
        <v>615</v>
      </c>
    </row>
    <row r="91" spans="1:4" x14ac:dyDescent="0.25">
      <c r="A91" s="25" t="s">
        <v>307</v>
      </c>
      <c r="B91" s="25" t="s">
        <v>145</v>
      </c>
      <c r="C91" s="25" t="s">
        <v>135</v>
      </c>
      <c r="D91" t="s">
        <v>616</v>
      </c>
    </row>
    <row r="92" spans="1:4" x14ac:dyDescent="0.25">
      <c r="A92" s="25" t="s">
        <v>308</v>
      </c>
      <c r="B92" s="25" t="s">
        <v>997</v>
      </c>
      <c r="C92" s="25" t="s">
        <v>998</v>
      </c>
      <c r="D92" t="s">
        <v>617</v>
      </c>
    </row>
    <row r="93" spans="1:4" x14ac:dyDescent="0.25">
      <c r="A93" s="25" t="s">
        <v>309</v>
      </c>
      <c r="B93" s="25" t="s">
        <v>999</v>
      </c>
      <c r="C93" s="25" t="s">
        <v>1000</v>
      </c>
      <c r="D93" t="s">
        <v>618</v>
      </c>
    </row>
    <row r="94" spans="1:4" x14ac:dyDescent="0.25">
      <c r="A94" s="25" t="s">
        <v>310</v>
      </c>
      <c r="B94" s="25" t="s">
        <v>1001</v>
      </c>
      <c r="C94" s="25" t="s">
        <v>1002</v>
      </c>
      <c r="D94" t="s">
        <v>619</v>
      </c>
    </row>
    <row r="95" spans="1:4" x14ac:dyDescent="0.25">
      <c r="A95" s="25" t="s">
        <v>311</v>
      </c>
      <c r="B95" s="25" t="s">
        <v>1003</v>
      </c>
      <c r="C95" s="25" t="s">
        <v>1004</v>
      </c>
      <c r="D95" t="s">
        <v>620</v>
      </c>
    </row>
    <row r="96" spans="1:4" x14ac:dyDescent="0.25">
      <c r="A96" s="25" t="s">
        <v>312</v>
      </c>
      <c r="B96" s="25" t="s">
        <v>146</v>
      </c>
      <c r="C96" s="25" t="s">
        <v>136</v>
      </c>
      <c r="D96" t="s">
        <v>622</v>
      </c>
    </row>
    <row r="97" spans="1:4" x14ac:dyDescent="0.25">
      <c r="A97" s="25" t="s">
        <v>313</v>
      </c>
      <c r="B97" s="25" t="s">
        <v>1005</v>
      </c>
      <c r="C97" s="25" t="s">
        <v>1006</v>
      </c>
      <c r="D97" t="s">
        <v>623</v>
      </c>
    </row>
    <row r="98" spans="1:4" x14ac:dyDescent="0.25">
      <c r="A98" s="25" t="s">
        <v>314</v>
      </c>
      <c r="B98" s="25" t="s">
        <v>1007</v>
      </c>
      <c r="C98" s="25" t="s">
        <v>1008</v>
      </c>
      <c r="D98" t="s">
        <v>624</v>
      </c>
    </row>
    <row r="99" spans="1:4" x14ac:dyDescent="0.25">
      <c r="A99" s="25" t="s">
        <v>315</v>
      </c>
      <c r="B99" s="25" t="s">
        <v>1009</v>
      </c>
      <c r="C99" s="25" t="s">
        <v>1010</v>
      </c>
      <c r="D99" t="s">
        <v>625</v>
      </c>
    </row>
    <row r="100" spans="1:4" x14ac:dyDescent="0.25">
      <c r="A100" s="25" t="s">
        <v>316</v>
      </c>
      <c r="B100" s="25" t="s">
        <v>1011</v>
      </c>
      <c r="C100" s="25" t="s">
        <v>1012</v>
      </c>
      <c r="D100" t="s">
        <v>626</v>
      </c>
    </row>
    <row r="101" spans="1:4" x14ac:dyDescent="0.25">
      <c r="A101" s="25" t="s">
        <v>317</v>
      </c>
      <c r="B101" s="25" t="s">
        <v>1013</v>
      </c>
      <c r="C101" s="25" t="s">
        <v>1014</v>
      </c>
      <c r="D101" t="s">
        <v>627</v>
      </c>
    </row>
    <row r="102" spans="1:4" x14ac:dyDescent="0.25">
      <c r="A102" s="25" t="s">
        <v>1639</v>
      </c>
      <c r="B102" s="25" t="s">
        <v>1703</v>
      </c>
      <c r="C102" s="25" t="s">
        <v>1704</v>
      </c>
      <c r="D102" t="s">
        <v>1776</v>
      </c>
    </row>
    <row r="103" spans="1:4" x14ac:dyDescent="0.25">
      <c r="A103" s="25" t="s">
        <v>318</v>
      </c>
      <c r="B103" s="25" t="s">
        <v>1015</v>
      </c>
      <c r="C103" s="25" t="s">
        <v>1016</v>
      </c>
      <c r="D103" t="s">
        <v>628</v>
      </c>
    </row>
    <row r="104" spans="1:4" x14ac:dyDescent="0.25">
      <c r="A104" s="25" t="s">
        <v>319</v>
      </c>
      <c r="B104" s="25" t="s">
        <v>1017</v>
      </c>
      <c r="C104" s="25" t="s">
        <v>1018</v>
      </c>
      <c r="D104" t="s">
        <v>629</v>
      </c>
    </row>
    <row r="105" spans="1:4" x14ac:dyDescent="0.25">
      <c r="A105" s="25" t="s">
        <v>320</v>
      </c>
      <c r="B105" s="25" t="s">
        <v>1019</v>
      </c>
      <c r="C105" s="25" t="s">
        <v>1020</v>
      </c>
      <c r="D105" t="s">
        <v>630</v>
      </c>
    </row>
    <row r="106" spans="1:4" x14ac:dyDescent="0.25">
      <c r="A106" s="25" t="s">
        <v>321</v>
      </c>
      <c r="B106" s="25" t="s">
        <v>1021</v>
      </c>
      <c r="C106" s="25" t="s">
        <v>1022</v>
      </c>
      <c r="D106" t="s">
        <v>632</v>
      </c>
    </row>
    <row r="107" spans="1:4" x14ac:dyDescent="0.25">
      <c r="A107" s="25" t="s">
        <v>322</v>
      </c>
      <c r="B107" s="25" t="s">
        <v>1023</v>
      </c>
      <c r="C107" s="25" t="s">
        <v>36</v>
      </c>
      <c r="D107" t="s">
        <v>633</v>
      </c>
    </row>
    <row r="108" spans="1:4" x14ac:dyDescent="0.25">
      <c r="A108" s="25" t="s">
        <v>323</v>
      </c>
      <c r="B108" s="25" t="s">
        <v>1024</v>
      </c>
      <c r="C108" s="25" t="s">
        <v>1025</v>
      </c>
      <c r="D108" t="s">
        <v>634</v>
      </c>
    </row>
    <row r="109" spans="1:4" x14ac:dyDescent="0.25">
      <c r="A109" s="25" t="s">
        <v>324</v>
      </c>
      <c r="B109" s="25" t="s">
        <v>1026</v>
      </c>
      <c r="C109" s="25" t="s">
        <v>1027</v>
      </c>
      <c r="D109" t="s">
        <v>635</v>
      </c>
    </row>
    <row r="110" spans="1:4" x14ac:dyDescent="0.25">
      <c r="A110" s="25" t="s">
        <v>325</v>
      </c>
      <c r="B110" s="25" t="s">
        <v>1028</v>
      </c>
      <c r="C110" s="25" t="s">
        <v>1029</v>
      </c>
      <c r="D110" t="s">
        <v>636</v>
      </c>
    </row>
    <row r="111" spans="1:4" x14ac:dyDescent="0.25">
      <c r="A111" s="25" t="s">
        <v>326</v>
      </c>
      <c r="B111" s="25" t="s">
        <v>1030</v>
      </c>
      <c r="C111" s="25" t="s">
        <v>1031</v>
      </c>
      <c r="D111" t="s">
        <v>637</v>
      </c>
    </row>
    <row r="112" spans="1:4" x14ac:dyDescent="0.25">
      <c r="A112" s="25" t="s">
        <v>327</v>
      </c>
      <c r="B112" s="25" t="s">
        <v>1032</v>
      </c>
      <c r="C112" s="25" t="s">
        <v>1033</v>
      </c>
      <c r="D112" t="s">
        <v>638</v>
      </c>
    </row>
    <row r="113" spans="1:4" x14ac:dyDescent="0.25">
      <c r="A113" s="25" t="s">
        <v>328</v>
      </c>
      <c r="B113" s="25" t="s">
        <v>1034</v>
      </c>
      <c r="C113" s="25" t="s">
        <v>1035</v>
      </c>
      <c r="D113" t="s">
        <v>639</v>
      </c>
    </row>
    <row r="114" spans="1:4" x14ac:dyDescent="0.25">
      <c r="A114" s="25" t="s">
        <v>329</v>
      </c>
      <c r="B114" s="25" t="s">
        <v>1036</v>
      </c>
      <c r="C114" s="25" t="s">
        <v>1037</v>
      </c>
      <c r="D114" t="s">
        <v>640</v>
      </c>
    </row>
    <row r="115" spans="1:4" x14ac:dyDescent="0.25">
      <c r="A115" s="25" t="s">
        <v>330</v>
      </c>
      <c r="B115" s="25" t="s">
        <v>1038</v>
      </c>
      <c r="C115" s="25" t="s">
        <v>1039</v>
      </c>
      <c r="D115" t="s">
        <v>641</v>
      </c>
    </row>
    <row r="116" spans="1:4" x14ac:dyDescent="0.25">
      <c r="A116" s="25" t="s">
        <v>331</v>
      </c>
      <c r="B116" s="25" t="s">
        <v>1040</v>
      </c>
      <c r="C116" s="25" t="s">
        <v>1041</v>
      </c>
      <c r="D116" t="s">
        <v>642</v>
      </c>
    </row>
    <row r="117" spans="1:4" x14ac:dyDescent="0.25">
      <c r="A117" s="25" t="s">
        <v>332</v>
      </c>
      <c r="B117" s="25" t="s">
        <v>187</v>
      </c>
      <c r="C117" s="25" t="s">
        <v>186</v>
      </c>
      <c r="D117" t="s">
        <v>644</v>
      </c>
    </row>
    <row r="118" spans="1:4" x14ac:dyDescent="0.25">
      <c r="A118" s="25" t="s">
        <v>333</v>
      </c>
      <c r="B118" s="25" t="s">
        <v>1042</v>
      </c>
      <c r="C118" s="25" t="s">
        <v>1043</v>
      </c>
      <c r="D118" t="s">
        <v>645</v>
      </c>
    </row>
    <row r="119" spans="1:4" x14ac:dyDescent="0.25">
      <c r="A119" s="25" t="s">
        <v>334</v>
      </c>
      <c r="B119" s="25" t="s">
        <v>1044</v>
      </c>
      <c r="C119" s="25" t="s">
        <v>1045</v>
      </c>
      <c r="D119" t="s">
        <v>646</v>
      </c>
    </row>
    <row r="120" spans="1:4" x14ac:dyDescent="0.25">
      <c r="A120" s="25" t="s">
        <v>1640</v>
      </c>
      <c r="B120" s="25" t="s">
        <v>1705</v>
      </c>
      <c r="C120" s="25" t="s">
        <v>1679</v>
      </c>
      <c r="D120" t="s">
        <v>1777</v>
      </c>
    </row>
    <row r="121" spans="1:4" x14ac:dyDescent="0.25">
      <c r="A121" s="25" t="s">
        <v>335</v>
      </c>
      <c r="B121" s="25" t="s">
        <v>1046</v>
      </c>
      <c r="C121" s="25" t="s">
        <v>1047</v>
      </c>
      <c r="D121" t="s">
        <v>647</v>
      </c>
    </row>
    <row r="122" spans="1:4" x14ac:dyDescent="0.25">
      <c r="A122" s="25" t="s">
        <v>336</v>
      </c>
      <c r="B122" s="25" t="s">
        <v>1048</v>
      </c>
      <c r="C122" s="25" t="s">
        <v>1049</v>
      </c>
      <c r="D122" t="s">
        <v>648</v>
      </c>
    </row>
    <row r="123" spans="1:4" x14ac:dyDescent="0.25">
      <c r="A123" s="25" t="s">
        <v>337</v>
      </c>
      <c r="B123" s="25" t="s">
        <v>1050</v>
      </c>
      <c r="C123" s="25" t="s">
        <v>130</v>
      </c>
      <c r="D123" t="s">
        <v>649</v>
      </c>
    </row>
    <row r="124" spans="1:4" x14ac:dyDescent="0.25">
      <c r="A124" s="25" t="s">
        <v>338</v>
      </c>
      <c r="B124" s="25" t="s">
        <v>1051</v>
      </c>
      <c r="C124" s="25" t="s">
        <v>1052</v>
      </c>
      <c r="D124" t="s">
        <v>650</v>
      </c>
    </row>
    <row r="125" spans="1:4" x14ac:dyDescent="0.25">
      <c r="A125" s="25" t="s">
        <v>339</v>
      </c>
      <c r="B125" s="25" t="s">
        <v>1053</v>
      </c>
      <c r="C125" s="25" t="s">
        <v>1054</v>
      </c>
      <c r="D125" t="s">
        <v>651</v>
      </c>
    </row>
    <row r="126" spans="1:4" x14ac:dyDescent="0.25">
      <c r="A126" s="26" t="s">
        <v>340</v>
      </c>
      <c r="B126" s="26" t="s">
        <v>1055</v>
      </c>
      <c r="C126" s="26" t="s">
        <v>1056</v>
      </c>
      <c r="D126" t="s">
        <v>652</v>
      </c>
    </row>
    <row r="127" spans="1:4" x14ac:dyDescent="0.25">
      <c r="A127" s="26" t="s">
        <v>341</v>
      </c>
      <c r="B127" s="26" t="s">
        <v>1057</v>
      </c>
      <c r="C127" s="26" t="s">
        <v>1058</v>
      </c>
      <c r="D127" t="s">
        <v>653</v>
      </c>
    </row>
    <row r="128" spans="1:4" x14ac:dyDescent="0.25">
      <c r="A128" s="26" t="s">
        <v>342</v>
      </c>
      <c r="B128" s="26" t="s">
        <v>1059</v>
      </c>
      <c r="C128" s="26" t="s">
        <v>1060</v>
      </c>
      <c r="D128" t="s">
        <v>654</v>
      </c>
    </row>
    <row r="129" spans="1:4" x14ac:dyDescent="0.25">
      <c r="A129" s="25" t="s">
        <v>343</v>
      </c>
      <c r="B129" s="25" t="s">
        <v>1061</v>
      </c>
      <c r="C129" s="25" t="s">
        <v>1062</v>
      </c>
      <c r="D129" t="s">
        <v>655</v>
      </c>
    </row>
    <row r="130" spans="1:4" x14ac:dyDescent="0.25">
      <c r="A130" s="25" t="s">
        <v>344</v>
      </c>
      <c r="B130" s="25" t="s">
        <v>175</v>
      </c>
      <c r="C130" s="25" t="s">
        <v>170</v>
      </c>
      <c r="D130" t="s">
        <v>656</v>
      </c>
    </row>
    <row r="131" spans="1:4" x14ac:dyDescent="0.25">
      <c r="A131" s="26" t="s">
        <v>1641</v>
      </c>
      <c r="B131" s="26" t="s">
        <v>1706</v>
      </c>
      <c r="C131" s="26" t="s">
        <v>1707</v>
      </c>
      <c r="D131" t="s">
        <v>1778</v>
      </c>
    </row>
    <row r="132" spans="1:4" x14ac:dyDescent="0.25">
      <c r="A132" s="25" t="s">
        <v>345</v>
      </c>
      <c r="B132" s="25" t="s">
        <v>1063</v>
      </c>
      <c r="C132" s="25" t="s">
        <v>1064</v>
      </c>
      <c r="D132" t="s">
        <v>658</v>
      </c>
    </row>
    <row r="133" spans="1:4" x14ac:dyDescent="0.25">
      <c r="A133" s="25" t="s">
        <v>346</v>
      </c>
      <c r="B133" s="25" t="s">
        <v>1065</v>
      </c>
      <c r="C133" s="25" t="s">
        <v>1066</v>
      </c>
      <c r="D133" t="s">
        <v>659</v>
      </c>
    </row>
    <row r="134" spans="1:4" x14ac:dyDescent="0.25">
      <c r="A134" s="26" t="s">
        <v>347</v>
      </c>
      <c r="B134" s="26" t="s">
        <v>1067</v>
      </c>
      <c r="C134" s="26" t="s">
        <v>1068</v>
      </c>
      <c r="D134" t="s">
        <v>661</v>
      </c>
    </row>
    <row r="135" spans="1:4" x14ac:dyDescent="0.25">
      <c r="A135" s="25" t="s">
        <v>348</v>
      </c>
      <c r="B135" s="25" t="s">
        <v>1069</v>
      </c>
      <c r="C135" s="25" t="s">
        <v>1070</v>
      </c>
      <c r="D135" t="s">
        <v>662</v>
      </c>
    </row>
    <row r="136" spans="1:4" x14ac:dyDescent="0.25">
      <c r="A136" s="26" t="s">
        <v>349</v>
      </c>
      <c r="B136" s="26" t="s">
        <v>1071</v>
      </c>
      <c r="C136" s="26" t="s">
        <v>1072</v>
      </c>
      <c r="D136" t="s">
        <v>663</v>
      </c>
    </row>
    <row r="137" spans="1:4" x14ac:dyDescent="0.25">
      <c r="A137" s="25" t="s">
        <v>1642</v>
      </c>
      <c r="B137" s="25" t="s">
        <v>1708</v>
      </c>
      <c r="C137" s="25" t="s">
        <v>1709</v>
      </c>
      <c r="D137" t="s">
        <v>1779</v>
      </c>
    </row>
    <row r="138" spans="1:4" x14ac:dyDescent="0.25">
      <c r="A138" s="26" t="s">
        <v>350</v>
      </c>
      <c r="B138" s="26" t="s">
        <v>147</v>
      </c>
      <c r="C138" s="26" t="s">
        <v>137</v>
      </c>
      <c r="D138" t="s">
        <v>664</v>
      </c>
    </row>
    <row r="139" spans="1:4" x14ac:dyDescent="0.25">
      <c r="A139" s="25" t="s">
        <v>351</v>
      </c>
      <c r="B139" s="25" t="s">
        <v>1073</v>
      </c>
      <c r="C139" s="25" t="s">
        <v>1074</v>
      </c>
      <c r="D139" t="s">
        <v>665</v>
      </c>
    </row>
    <row r="140" spans="1:4" x14ac:dyDescent="0.25">
      <c r="A140" s="25" t="s">
        <v>352</v>
      </c>
      <c r="B140" s="25" t="s">
        <v>1075</v>
      </c>
      <c r="C140" s="25" t="s">
        <v>1076</v>
      </c>
      <c r="D140" t="s">
        <v>666</v>
      </c>
    </row>
    <row r="141" spans="1:4" x14ac:dyDescent="0.25">
      <c r="A141" s="25" t="s">
        <v>353</v>
      </c>
      <c r="B141" s="25" t="s">
        <v>148</v>
      </c>
      <c r="C141" s="25" t="s">
        <v>138</v>
      </c>
      <c r="D141" t="s">
        <v>667</v>
      </c>
    </row>
    <row r="142" spans="1:4" x14ac:dyDescent="0.25">
      <c r="A142" s="25" t="s">
        <v>354</v>
      </c>
      <c r="B142" s="25" t="s">
        <v>1077</v>
      </c>
      <c r="C142" s="25" t="s">
        <v>1078</v>
      </c>
      <c r="D142" t="s">
        <v>668</v>
      </c>
    </row>
    <row r="143" spans="1:4" x14ac:dyDescent="0.25">
      <c r="A143" s="26" t="s">
        <v>355</v>
      </c>
      <c r="B143" s="26" t="s">
        <v>149</v>
      </c>
      <c r="C143" s="26" t="s">
        <v>139</v>
      </c>
      <c r="D143" t="s">
        <v>669</v>
      </c>
    </row>
    <row r="144" spans="1:4" x14ac:dyDescent="0.25">
      <c r="A144" s="26" t="s">
        <v>356</v>
      </c>
      <c r="B144" s="26" t="s">
        <v>1079</v>
      </c>
      <c r="C144" s="26" t="s">
        <v>1080</v>
      </c>
      <c r="D144" t="s">
        <v>670</v>
      </c>
    </row>
    <row r="145" spans="1:4" x14ac:dyDescent="0.25">
      <c r="A145" s="26" t="s">
        <v>357</v>
      </c>
      <c r="B145" s="26" t="s">
        <v>150</v>
      </c>
      <c r="C145" s="26" t="s">
        <v>38</v>
      </c>
      <c r="D145" t="s">
        <v>671</v>
      </c>
    </row>
    <row r="146" spans="1:4" x14ac:dyDescent="0.25">
      <c r="A146" s="26" t="s">
        <v>358</v>
      </c>
      <c r="B146" s="26" t="s">
        <v>1081</v>
      </c>
      <c r="C146" s="26" t="s">
        <v>1082</v>
      </c>
      <c r="D146" t="s">
        <v>672</v>
      </c>
    </row>
    <row r="147" spans="1:4" x14ac:dyDescent="0.25">
      <c r="A147" s="26" t="s">
        <v>359</v>
      </c>
      <c r="B147" s="26" t="s">
        <v>1083</v>
      </c>
      <c r="C147" s="26" t="s">
        <v>1084</v>
      </c>
      <c r="D147" t="s">
        <v>673</v>
      </c>
    </row>
    <row r="148" spans="1:4" x14ac:dyDescent="0.25">
      <c r="A148" s="26" t="s">
        <v>360</v>
      </c>
      <c r="B148" s="26" t="s">
        <v>1085</v>
      </c>
      <c r="C148" s="26" t="s">
        <v>1086</v>
      </c>
      <c r="D148" t="s">
        <v>674</v>
      </c>
    </row>
    <row r="149" spans="1:4" x14ac:dyDescent="0.25">
      <c r="A149" s="26" t="s">
        <v>361</v>
      </c>
      <c r="B149" s="26" t="s">
        <v>1087</v>
      </c>
      <c r="C149" s="26" t="s">
        <v>1088</v>
      </c>
      <c r="D149" t="s">
        <v>675</v>
      </c>
    </row>
    <row r="150" spans="1:4" x14ac:dyDescent="0.25">
      <c r="A150" s="25" t="s">
        <v>362</v>
      </c>
      <c r="B150" s="25" t="s">
        <v>1089</v>
      </c>
      <c r="C150" s="25" t="s">
        <v>1090</v>
      </c>
      <c r="D150" t="s">
        <v>676</v>
      </c>
    </row>
    <row r="151" spans="1:4" x14ac:dyDescent="0.25">
      <c r="A151" s="26" t="s">
        <v>363</v>
      </c>
      <c r="B151" s="26" t="s">
        <v>1091</v>
      </c>
      <c r="C151" s="26" t="s">
        <v>1092</v>
      </c>
      <c r="D151" t="s">
        <v>677</v>
      </c>
    </row>
    <row r="152" spans="1:4" x14ac:dyDescent="0.25">
      <c r="A152" s="26" t="s">
        <v>364</v>
      </c>
      <c r="B152" s="26" t="s">
        <v>73</v>
      </c>
      <c r="C152" s="26" t="s">
        <v>31</v>
      </c>
      <c r="D152" t="s">
        <v>678</v>
      </c>
    </row>
    <row r="153" spans="1:4" x14ac:dyDescent="0.25">
      <c r="A153" s="26" t="s">
        <v>365</v>
      </c>
      <c r="B153" s="26" t="s">
        <v>176</v>
      </c>
      <c r="C153" s="26" t="s">
        <v>171</v>
      </c>
      <c r="D153" t="s">
        <v>679</v>
      </c>
    </row>
    <row r="154" spans="1:4" x14ac:dyDescent="0.25">
      <c r="A154" s="25" t="s">
        <v>1643</v>
      </c>
      <c r="B154" s="25" t="s">
        <v>1710</v>
      </c>
      <c r="C154" s="25" t="s">
        <v>1711</v>
      </c>
      <c r="D154" t="s">
        <v>1780</v>
      </c>
    </row>
    <row r="155" spans="1:4" x14ac:dyDescent="0.25">
      <c r="A155" s="26" t="s">
        <v>366</v>
      </c>
      <c r="B155" s="26" t="s">
        <v>1093</v>
      </c>
      <c r="C155" s="26" t="s">
        <v>1094</v>
      </c>
      <c r="D155" t="s">
        <v>680</v>
      </c>
    </row>
    <row r="156" spans="1:4" x14ac:dyDescent="0.25">
      <c r="A156" s="26" t="s">
        <v>367</v>
      </c>
      <c r="B156" s="26" t="s">
        <v>1093</v>
      </c>
      <c r="C156" s="26" t="s">
        <v>1095</v>
      </c>
      <c r="D156" t="s">
        <v>681</v>
      </c>
    </row>
    <row r="157" spans="1:4" x14ac:dyDescent="0.25">
      <c r="A157" s="25" t="s">
        <v>368</v>
      </c>
      <c r="B157" s="25" t="s">
        <v>1096</v>
      </c>
      <c r="C157" s="25" t="s">
        <v>1097</v>
      </c>
      <c r="D157" t="s">
        <v>682</v>
      </c>
    </row>
    <row r="158" spans="1:4" x14ac:dyDescent="0.25">
      <c r="A158" s="26" t="s">
        <v>369</v>
      </c>
      <c r="B158" s="26" t="s">
        <v>1098</v>
      </c>
      <c r="C158" s="26" t="s">
        <v>1099</v>
      </c>
      <c r="D158" t="s">
        <v>683</v>
      </c>
    </row>
    <row r="159" spans="1:4" x14ac:dyDescent="0.25">
      <c r="A159" s="26" t="s">
        <v>370</v>
      </c>
      <c r="B159" s="26" t="s">
        <v>1100</v>
      </c>
      <c r="C159" s="26" t="s">
        <v>1070</v>
      </c>
      <c r="D159" t="s">
        <v>684</v>
      </c>
    </row>
    <row r="160" spans="1:4" x14ac:dyDescent="0.25">
      <c r="A160" s="26" t="s">
        <v>371</v>
      </c>
      <c r="B160" s="26" t="s">
        <v>1101</v>
      </c>
      <c r="C160" s="26" t="s">
        <v>130</v>
      </c>
      <c r="D160" t="s">
        <v>685</v>
      </c>
    </row>
    <row r="161" spans="1:4" x14ac:dyDescent="0.25">
      <c r="A161" s="26" t="s">
        <v>372</v>
      </c>
      <c r="B161" s="26" t="s">
        <v>1102</v>
      </c>
      <c r="C161" s="26" t="s">
        <v>1103</v>
      </c>
      <c r="D161" t="s">
        <v>686</v>
      </c>
    </row>
    <row r="162" spans="1:4" x14ac:dyDescent="0.25">
      <c r="A162" s="25" t="s">
        <v>373</v>
      </c>
      <c r="B162" s="25" t="s">
        <v>1104</v>
      </c>
      <c r="C162" s="25" t="s">
        <v>1105</v>
      </c>
      <c r="D162" t="s">
        <v>687</v>
      </c>
    </row>
    <row r="163" spans="1:4" x14ac:dyDescent="0.25">
      <c r="A163" s="25" t="s">
        <v>374</v>
      </c>
      <c r="B163" s="25" t="s">
        <v>1106</v>
      </c>
      <c r="C163" s="25" t="s">
        <v>1107</v>
      </c>
      <c r="D163" t="s">
        <v>688</v>
      </c>
    </row>
    <row r="164" spans="1:4" x14ac:dyDescent="0.25">
      <c r="A164" s="25" t="s">
        <v>1644</v>
      </c>
      <c r="B164" s="25" t="s">
        <v>1712</v>
      </c>
      <c r="C164" s="25" t="s">
        <v>1713</v>
      </c>
      <c r="D164" t="s">
        <v>1781</v>
      </c>
    </row>
    <row r="165" spans="1:4" x14ac:dyDescent="0.25">
      <c r="A165" s="25" t="s">
        <v>1645</v>
      </c>
      <c r="B165" s="25" t="s">
        <v>1714</v>
      </c>
      <c r="C165" s="25" t="s">
        <v>1715</v>
      </c>
      <c r="D165" t="s">
        <v>1782</v>
      </c>
    </row>
    <row r="166" spans="1:4" x14ac:dyDescent="0.25">
      <c r="A166" s="25" t="s">
        <v>1646</v>
      </c>
      <c r="B166" s="25" t="s">
        <v>1716</v>
      </c>
      <c r="C166" s="25" t="s">
        <v>1717</v>
      </c>
      <c r="D166" t="s">
        <v>1783</v>
      </c>
    </row>
    <row r="167" spans="1:4" x14ac:dyDescent="0.25">
      <c r="A167" s="25" t="s">
        <v>375</v>
      </c>
      <c r="B167" s="25" t="s">
        <v>1108</v>
      </c>
      <c r="C167" s="25" t="s">
        <v>1109</v>
      </c>
      <c r="D167" t="s">
        <v>690</v>
      </c>
    </row>
    <row r="168" spans="1:4" x14ac:dyDescent="0.25">
      <c r="A168" s="25" t="s">
        <v>376</v>
      </c>
      <c r="B168" s="25" t="s">
        <v>1110</v>
      </c>
      <c r="C168" s="25" t="s">
        <v>1111</v>
      </c>
      <c r="D168" t="s">
        <v>691</v>
      </c>
    </row>
    <row r="169" spans="1:4" x14ac:dyDescent="0.25">
      <c r="A169" s="25" t="s">
        <v>1647</v>
      </c>
      <c r="B169" s="25" t="s">
        <v>1718</v>
      </c>
      <c r="C169" s="25" t="s">
        <v>1719</v>
      </c>
      <c r="D169" t="s">
        <v>1784</v>
      </c>
    </row>
    <row r="170" spans="1:4" x14ac:dyDescent="0.25">
      <c r="A170" s="25" t="s">
        <v>377</v>
      </c>
      <c r="B170" s="25" t="s">
        <v>1112</v>
      </c>
      <c r="C170" s="25" t="s">
        <v>1113</v>
      </c>
      <c r="D170" t="s">
        <v>692</v>
      </c>
    </row>
    <row r="171" spans="1:4" x14ac:dyDescent="0.25">
      <c r="A171" s="25" t="s">
        <v>378</v>
      </c>
      <c r="B171" s="25" t="s">
        <v>1114</v>
      </c>
      <c r="C171" s="25" t="s">
        <v>1115</v>
      </c>
      <c r="D171" t="s">
        <v>693</v>
      </c>
    </row>
    <row r="172" spans="1:4" x14ac:dyDescent="0.25">
      <c r="A172" s="25" t="s">
        <v>379</v>
      </c>
      <c r="B172" s="25" t="s">
        <v>1116</v>
      </c>
      <c r="C172" s="25" t="s">
        <v>1117</v>
      </c>
      <c r="D172" t="s">
        <v>694</v>
      </c>
    </row>
    <row r="173" spans="1:4" x14ac:dyDescent="0.25">
      <c r="A173" s="25" t="s">
        <v>380</v>
      </c>
      <c r="B173" s="25" t="s">
        <v>1118</v>
      </c>
      <c r="C173" s="25" t="s">
        <v>1119</v>
      </c>
      <c r="D173" t="s">
        <v>695</v>
      </c>
    </row>
    <row r="174" spans="1:4" x14ac:dyDescent="0.25">
      <c r="A174" s="25" t="s">
        <v>381</v>
      </c>
      <c r="B174" s="25" t="s">
        <v>1120</v>
      </c>
      <c r="C174" s="25" t="s">
        <v>1121</v>
      </c>
      <c r="D174" t="s">
        <v>696</v>
      </c>
    </row>
    <row r="175" spans="1:4" x14ac:dyDescent="0.25">
      <c r="A175" s="25" t="s">
        <v>382</v>
      </c>
      <c r="B175" s="25" t="s">
        <v>1122</v>
      </c>
      <c r="C175" s="25" t="s">
        <v>1123</v>
      </c>
      <c r="D175" t="s">
        <v>697</v>
      </c>
    </row>
    <row r="176" spans="1:4" x14ac:dyDescent="0.25">
      <c r="A176" s="25" t="s">
        <v>383</v>
      </c>
      <c r="B176" s="25" t="s">
        <v>1124</v>
      </c>
      <c r="C176" s="25" t="s">
        <v>1125</v>
      </c>
      <c r="D176" t="s">
        <v>698</v>
      </c>
    </row>
    <row r="177" spans="1:4" x14ac:dyDescent="0.25">
      <c r="A177" s="25" t="s">
        <v>384</v>
      </c>
      <c r="B177" s="25" t="s">
        <v>1126</v>
      </c>
      <c r="C177" s="25" t="s">
        <v>41</v>
      </c>
      <c r="D177" t="s">
        <v>701</v>
      </c>
    </row>
    <row r="178" spans="1:4" x14ac:dyDescent="0.25">
      <c r="A178" s="25" t="s">
        <v>385</v>
      </c>
      <c r="B178" s="25" t="s">
        <v>87</v>
      </c>
      <c r="C178" s="25" t="s">
        <v>88</v>
      </c>
      <c r="D178" t="s">
        <v>702</v>
      </c>
    </row>
    <row r="179" spans="1:4" x14ac:dyDescent="0.25">
      <c r="A179" s="25" t="s">
        <v>386</v>
      </c>
      <c r="B179" s="25" t="s">
        <v>1127</v>
      </c>
      <c r="C179" s="25" t="s">
        <v>1128</v>
      </c>
      <c r="D179" t="s">
        <v>703</v>
      </c>
    </row>
    <row r="180" spans="1:4" x14ac:dyDescent="0.25">
      <c r="A180" s="25" t="s">
        <v>1648</v>
      </c>
      <c r="B180" s="25" t="s">
        <v>1720</v>
      </c>
      <c r="C180" s="25" t="s">
        <v>1721</v>
      </c>
      <c r="D180" t="s">
        <v>1785</v>
      </c>
    </row>
    <row r="181" spans="1:4" x14ac:dyDescent="0.25">
      <c r="A181" s="25" t="s">
        <v>387</v>
      </c>
      <c r="B181" s="25" t="s">
        <v>1129</v>
      </c>
      <c r="C181" s="25" t="s">
        <v>1130</v>
      </c>
      <c r="D181" t="s">
        <v>704</v>
      </c>
    </row>
    <row r="182" spans="1:4" x14ac:dyDescent="0.25">
      <c r="A182" s="25" t="s">
        <v>388</v>
      </c>
      <c r="B182" s="25" t="s">
        <v>1131</v>
      </c>
      <c r="C182" s="25" t="s">
        <v>1132</v>
      </c>
      <c r="D182" t="s">
        <v>705</v>
      </c>
    </row>
    <row r="183" spans="1:4" x14ac:dyDescent="0.25">
      <c r="A183" s="25" t="s">
        <v>389</v>
      </c>
      <c r="B183" s="25" t="s">
        <v>1133</v>
      </c>
      <c r="C183" s="25" t="s">
        <v>1134</v>
      </c>
      <c r="D183" t="s">
        <v>706</v>
      </c>
    </row>
    <row r="184" spans="1:4" x14ac:dyDescent="0.25">
      <c r="A184" s="25" t="s">
        <v>1649</v>
      </c>
      <c r="B184" s="25" t="s">
        <v>1722</v>
      </c>
      <c r="C184" s="25" t="s">
        <v>1723</v>
      </c>
      <c r="D184" t="s">
        <v>1786</v>
      </c>
    </row>
    <row r="185" spans="1:4" x14ac:dyDescent="0.25">
      <c r="A185" s="25" t="s">
        <v>390</v>
      </c>
      <c r="B185" s="25" t="s">
        <v>1135</v>
      </c>
      <c r="C185" s="25" t="s">
        <v>931</v>
      </c>
      <c r="D185" t="s">
        <v>708</v>
      </c>
    </row>
    <row r="186" spans="1:4" x14ac:dyDescent="0.25">
      <c r="A186" s="25" t="s">
        <v>391</v>
      </c>
      <c r="B186" s="25" t="s">
        <v>1136</v>
      </c>
      <c r="C186" s="25" t="s">
        <v>42</v>
      </c>
      <c r="D186" t="s">
        <v>710</v>
      </c>
    </row>
    <row r="187" spans="1:4" x14ac:dyDescent="0.25">
      <c r="A187" s="25" t="s">
        <v>392</v>
      </c>
      <c r="B187" s="25" t="s">
        <v>1137</v>
      </c>
      <c r="C187" s="25" t="s">
        <v>1138</v>
      </c>
      <c r="D187" t="s">
        <v>711</v>
      </c>
    </row>
    <row r="188" spans="1:4" x14ac:dyDescent="0.25">
      <c r="A188" s="25" t="s">
        <v>393</v>
      </c>
      <c r="B188" s="25" t="s">
        <v>1139</v>
      </c>
      <c r="C188" s="25" t="s">
        <v>1140</v>
      </c>
      <c r="D188" t="s">
        <v>712</v>
      </c>
    </row>
    <row r="189" spans="1:4" x14ac:dyDescent="0.25">
      <c r="A189" s="25" t="s">
        <v>394</v>
      </c>
      <c r="B189" s="25" t="s">
        <v>1141</v>
      </c>
      <c r="C189" s="25" t="s">
        <v>88</v>
      </c>
      <c r="D189" t="s">
        <v>713</v>
      </c>
    </row>
    <row r="190" spans="1:4" x14ac:dyDescent="0.25">
      <c r="A190" s="25" t="s">
        <v>395</v>
      </c>
      <c r="B190" s="25" t="s">
        <v>1142</v>
      </c>
      <c r="C190" s="25" t="s">
        <v>1143</v>
      </c>
      <c r="D190" t="s">
        <v>714</v>
      </c>
    </row>
    <row r="191" spans="1:4" x14ac:dyDescent="0.25">
      <c r="A191" s="25" t="s">
        <v>396</v>
      </c>
      <c r="B191" s="25" t="s">
        <v>1145</v>
      </c>
      <c r="C191" s="25" t="s">
        <v>1146</v>
      </c>
      <c r="D191" t="s">
        <v>716</v>
      </c>
    </row>
    <row r="192" spans="1:4" x14ac:dyDescent="0.25">
      <c r="A192" s="25" t="s">
        <v>397</v>
      </c>
      <c r="B192" s="25" t="s">
        <v>1147</v>
      </c>
      <c r="C192" s="25" t="s">
        <v>1148</v>
      </c>
      <c r="D192" t="s">
        <v>717</v>
      </c>
    </row>
    <row r="193" spans="1:4" x14ac:dyDescent="0.25">
      <c r="A193" s="25" t="s">
        <v>1650</v>
      </c>
      <c r="B193" s="25" t="s">
        <v>1724</v>
      </c>
      <c r="C193" s="25" t="s">
        <v>1725</v>
      </c>
      <c r="D193" t="s">
        <v>1787</v>
      </c>
    </row>
    <row r="194" spans="1:4" x14ac:dyDescent="0.25">
      <c r="A194" s="25" t="s">
        <v>398</v>
      </c>
      <c r="B194" s="25" t="s">
        <v>1149</v>
      </c>
      <c r="C194" s="25" t="s">
        <v>1150</v>
      </c>
      <c r="D194" t="s">
        <v>718</v>
      </c>
    </row>
    <row r="195" spans="1:4" x14ac:dyDescent="0.25">
      <c r="A195" s="25" t="s">
        <v>399</v>
      </c>
      <c r="B195" s="25" t="s">
        <v>1151</v>
      </c>
      <c r="C195" s="25" t="s">
        <v>1152</v>
      </c>
      <c r="D195" t="s">
        <v>719</v>
      </c>
    </row>
    <row r="196" spans="1:4" x14ac:dyDescent="0.25">
      <c r="A196" s="25" t="s">
        <v>400</v>
      </c>
      <c r="B196" s="25" t="s">
        <v>1153</v>
      </c>
      <c r="C196" s="25" t="s">
        <v>1154</v>
      </c>
      <c r="D196" t="s">
        <v>720</v>
      </c>
    </row>
    <row r="197" spans="1:4" x14ac:dyDescent="0.25">
      <c r="A197" s="25" t="s">
        <v>401</v>
      </c>
      <c r="B197" s="25" t="s">
        <v>1155</v>
      </c>
      <c r="C197" s="25" t="s">
        <v>1156</v>
      </c>
      <c r="D197" t="s">
        <v>721</v>
      </c>
    </row>
    <row r="198" spans="1:4" x14ac:dyDescent="0.25">
      <c r="A198" s="25" t="s">
        <v>402</v>
      </c>
      <c r="B198" s="25" t="s">
        <v>1157</v>
      </c>
      <c r="C198" s="25" t="s">
        <v>1158</v>
      </c>
      <c r="D198" t="s">
        <v>722</v>
      </c>
    </row>
    <row r="199" spans="1:4" x14ac:dyDescent="0.25">
      <c r="A199" s="25" t="s">
        <v>403</v>
      </c>
      <c r="B199" s="25" t="s">
        <v>1159</v>
      </c>
      <c r="C199" s="25" t="s">
        <v>1160</v>
      </c>
      <c r="D199" t="s">
        <v>723</v>
      </c>
    </row>
    <row r="200" spans="1:4" x14ac:dyDescent="0.25">
      <c r="A200" s="25" t="s">
        <v>404</v>
      </c>
      <c r="B200" s="25" t="s">
        <v>1161</v>
      </c>
      <c r="C200" s="25" t="s">
        <v>1162</v>
      </c>
      <c r="D200" t="s">
        <v>724</v>
      </c>
    </row>
    <row r="201" spans="1:4" x14ac:dyDescent="0.25">
      <c r="A201" s="25" t="s">
        <v>1651</v>
      </c>
      <c r="B201" s="25" t="s">
        <v>1726</v>
      </c>
      <c r="C201" s="25" t="s">
        <v>1727</v>
      </c>
      <c r="D201" t="s">
        <v>1788</v>
      </c>
    </row>
    <row r="202" spans="1:4" x14ac:dyDescent="0.25">
      <c r="A202" s="25" t="s">
        <v>1652</v>
      </c>
      <c r="B202" s="25" t="s">
        <v>1728</v>
      </c>
      <c r="C202" s="25" t="s">
        <v>1729</v>
      </c>
      <c r="D202" t="s">
        <v>1789</v>
      </c>
    </row>
    <row r="203" spans="1:4" x14ac:dyDescent="0.25">
      <c r="A203" s="25" t="s">
        <v>405</v>
      </c>
      <c r="B203" s="25" t="s">
        <v>1730</v>
      </c>
      <c r="C203" s="25" t="s">
        <v>1163</v>
      </c>
      <c r="D203" t="s">
        <v>726</v>
      </c>
    </row>
    <row r="204" spans="1:4" x14ac:dyDescent="0.25">
      <c r="A204" s="25" t="s">
        <v>406</v>
      </c>
      <c r="B204" s="25" t="s">
        <v>1164</v>
      </c>
      <c r="C204" s="25" t="s">
        <v>1165</v>
      </c>
      <c r="D204" t="s">
        <v>727</v>
      </c>
    </row>
    <row r="205" spans="1:4" x14ac:dyDescent="0.25">
      <c r="A205" s="25" t="s">
        <v>407</v>
      </c>
      <c r="B205" s="25" t="s">
        <v>1166</v>
      </c>
      <c r="C205" s="25" t="s">
        <v>1167</v>
      </c>
      <c r="D205" t="s">
        <v>728</v>
      </c>
    </row>
    <row r="206" spans="1:4" x14ac:dyDescent="0.25">
      <c r="A206" s="25" t="s">
        <v>408</v>
      </c>
      <c r="B206" s="25" t="s">
        <v>1168</v>
      </c>
      <c r="C206" s="25" t="s">
        <v>1158</v>
      </c>
      <c r="D206" t="s">
        <v>729</v>
      </c>
    </row>
    <row r="207" spans="1:4" x14ac:dyDescent="0.25">
      <c r="A207" s="25" t="s">
        <v>409</v>
      </c>
      <c r="B207" s="25" t="s">
        <v>1169</v>
      </c>
      <c r="C207" s="25" t="s">
        <v>1170</v>
      </c>
      <c r="D207" t="s">
        <v>730</v>
      </c>
    </row>
    <row r="208" spans="1:4" x14ac:dyDescent="0.25">
      <c r="A208" s="25" t="s">
        <v>410</v>
      </c>
      <c r="B208" s="25" t="s">
        <v>1171</v>
      </c>
      <c r="C208" s="25" t="s">
        <v>1172</v>
      </c>
      <c r="D208" t="s">
        <v>731</v>
      </c>
    </row>
    <row r="209" spans="1:4" x14ac:dyDescent="0.25">
      <c r="A209" s="25" t="s">
        <v>411</v>
      </c>
      <c r="B209" s="25" t="s">
        <v>1173</v>
      </c>
      <c r="C209" s="25" t="s">
        <v>1174</v>
      </c>
      <c r="D209" t="s">
        <v>733</v>
      </c>
    </row>
    <row r="210" spans="1:4" x14ac:dyDescent="0.25">
      <c r="A210" s="25" t="s">
        <v>412</v>
      </c>
      <c r="B210" s="25" t="s">
        <v>1175</v>
      </c>
      <c r="C210" s="25" t="s">
        <v>1176</v>
      </c>
      <c r="D210" t="s">
        <v>734</v>
      </c>
    </row>
    <row r="211" spans="1:4" x14ac:dyDescent="0.25">
      <c r="A211" s="25" t="s">
        <v>413</v>
      </c>
      <c r="B211" s="25" t="s">
        <v>1177</v>
      </c>
      <c r="C211" s="25" t="s">
        <v>130</v>
      </c>
      <c r="D211" t="s">
        <v>735</v>
      </c>
    </row>
    <row r="212" spans="1:4" x14ac:dyDescent="0.25">
      <c r="A212" s="25" t="s">
        <v>414</v>
      </c>
      <c r="B212" s="25" t="s">
        <v>118</v>
      </c>
      <c r="C212" s="25" t="s">
        <v>40</v>
      </c>
      <c r="D212" t="s">
        <v>736</v>
      </c>
    </row>
    <row r="213" spans="1:4" x14ac:dyDescent="0.25">
      <c r="A213" s="25" t="s">
        <v>415</v>
      </c>
      <c r="B213" s="25" t="s">
        <v>151</v>
      </c>
      <c r="C213" s="25" t="s">
        <v>140</v>
      </c>
      <c r="D213" t="s">
        <v>737</v>
      </c>
    </row>
    <row r="214" spans="1:4" x14ac:dyDescent="0.25">
      <c r="A214" s="26" t="s">
        <v>416</v>
      </c>
      <c r="B214" s="26" t="s">
        <v>89</v>
      </c>
      <c r="C214" s="26" t="s">
        <v>90</v>
      </c>
      <c r="D214" t="s">
        <v>738</v>
      </c>
    </row>
    <row r="215" spans="1:4" x14ac:dyDescent="0.25">
      <c r="A215" s="25" t="s">
        <v>1653</v>
      </c>
      <c r="B215" s="25" t="s">
        <v>1731</v>
      </c>
      <c r="C215" s="25" t="s">
        <v>1732</v>
      </c>
      <c r="D215" t="s">
        <v>1790</v>
      </c>
    </row>
    <row r="216" spans="1:4" x14ac:dyDescent="0.25">
      <c r="A216" s="25" t="s">
        <v>417</v>
      </c>
      <c r="B216" s="25" t="s">
        <v>1178</v>
      </c>
      <c r="C216" s="25" t="s">
        <v>1179</v>
      </c>
      <c r="D216" t="s">
        <v>739</v>
      </c>
    </row>
    <row r="217" spans="1:4" x14ac:dyDescent="0.25">
      <c r="A217" s="25" t="s">
        <v>418</v>
      </c>
      <c r="B217" s="25" t="s">
        <v>120</v>
      </c>
      <c r="C217" s="25" t="s">
        <v>121</v>
      </c>
      <c r="D217" t="s">
        <v>740</v>
      </c>
    </row>
    <row r="218" spans="1:4" x14ac:dyDescent="0.25">
      <c r="A218" s="26" t="s">
        <v>419</v>
      </c>
      <c r="B218" s="26" t="s">
        <v>75</v>
      </c>
      <c r="C218" s="26" t="s">
        <v>74</v>
      </c>
      <c r="D218" t="s">
        <v>741</v>
      </c>
    </row>
    <row r="219" spans="1:4" x14ac:dyDescent="0.25">
      <c r="A219" s="25" t="s">
        <v>420</v>
      </c>
      <c r="B219" s="25" t="s">
        <v>1180</v>
      </c>
      <c r="C219" s="25" t="s">
        <v>1181</v>
      </c>
      <c r="D219" t="s">
        <v>742</v>
      </c>
    </row>
    <row r="220" spans="1:4" x14ac:dyDescent="0.25">
      <c r="A220" s="26" t="s">
        <v>421</v>
      </c>
      <c r="B220" s="26" t="s">
        <v>1182</v>
      </c>
      <c r="C220" s="26" t="s">
        <v>1183</v>
      </c>
      <c r="D220" t="s">
        <v>743</v>
      </c>
    </row>
    <row r="221" spans="1:4" x14ac:dyDescent="0.25">
      <c r="A221" s="26" t="s">
        <v>422</v>
      </c>
      <c r="B221" s="26" t="s">
        <v>1184</v>
      </c>
      <c r="C221" s="26" t="s">
        <v>1185</v>
      </c>
      <c r="D221" t="s">
        <v>744</v>
      </c>
    </row>
    <row r="222" spans="1:4" x14ac:dyDescent="0.25">
      <c r="A222" s="25" t="s">
        <v>423</v>
      </c>
      <c r="B222" s="25" t="s">
        <v>1186</v>
      </c>
      <c r="C222" s="25" t="s">
        <v>1187</v>
      </c>
      <c r="D222" t="s">
        <v>745</v>
      </c>
    </row>
    <row r="223" spans="1:4" x14ac:dyDescent="0.25">
      <c r="A223" s="26" t="s">
        <v>424</v>
      </c>
      <c r="B223" s="26" t="s">
        <v>1186</v>
      </c>
      <c r="C223" s="26" t="s">
        <v>80</v>
      </c>
      <c r="D223" t="s">
        <v>746</v>
      </c>
    </row>
    <row r="224" spans="1:4" x14ac:dyDescent="0.25">
      <c r="A224" s="25" t="s">
        <v>425</v>
      </c>
      <c r="B224" s="25" t="s">
        <v>1188</v>
      </c>
      <c r="C224" s="25" t="s">
        <v>1189</v>
      </c>
      <c r="D224" t="s">
        <v>747</v>
      </c>
    </row>
    <row r="225" spans="1:4" x14ac:dyDescent="0.25">
      <c r="A225" s="26" t="s">
        <v>426</v>
      </c>
      <c r="B225" s="26" t="s">
        <v>1190</v>
      </c>
      <c r="C225" s="26" t="s">
        <v>1191</v>
      </c>
      <c r="D225" t="s">
        <v>748</v>
      </c>
    </row>
    <row r="226" spans="1:4" x14ac:dyDescent="0.25">
      <c r="A226" s="25" t="s">
        <v>427</v>
      </c>
      <c r="B226" s="25" t="s">
        <v>1192</v>
      </c>
      <c r="C226" s="25" t="s">
        <v>1193</v>
      </c>
      <c r="D226" t="s">
        <v>749</v>
      </c>
    </row>
    <row r="227" spans="1:4" x14ac:dyDescent="0.25">
      <c r="A227" s="25" t="s">
        <v>428</v>
      </c>
      <c r="B227" s="25" t="s">
        <v>1194</v>
      </c>
      <c r="C227" s="25" t="s">
        <v>1195</v>
      </c>
      <c r="D227" t="s">
        <v>750</v>
      </c>
    </row>
    <row r="228" spans="1:4" x14ac:dyDescent="0.25">
      <c r="A228" s="25" t="s">
        <v>429</v>
      </c>
      <c r="B228" s="25" t="s">
        <v>1196</v>
      </c>
      <c r="C228" s="25" t="s">
        <v>1197</v>
      </c>
      <c r="D228" t="s">
        <v>751</v>
      </c>
    </row>
    <row r="229" spans="1:4" x14ac:dyDescent="0.25">
      <c r="A229" s="25" t="s">
        <v>430</v>
      </c>
      <c r="B229" s="25" t="s">
        <v>1198</v>
      </c>
      <c r="C229" s="25" t="s">
        <v>1199</v>
      </c>
      <c r="D229" t="s">
        <v>753</v>
      </c>
    </row>
    <row r="230" spans="1:4" x14ac:dyDescent="0.25">
      <c r="A230" s="25" t="s">
        <v>431</v>
      </c>
      <c r="B230" s="25" t="s">
        <v>81</v>
      </c>
      <c r="C230" s="25" t="s">
        <v>32</v>
      </c>
      <c r="D230" t="s">
        <v>754</v>
      </c>
    </row>
    <row r="231" spans="1:4" x14ac:dyDescent="0.25">
      <c r="A231" s="25" t="s">
        <v>432</v>
      </c>
      <c r="B231" s="25" t="s">
        <v>123</v>
      </c>
      <c r="C231" s="25" t="s">
        <v>124</v>
      </c>
      <c r="D231" t="s">
        <v>755</v>
      </c>
    </row>
    <row r="232" spans="1:4" x14ac:dyDescent="0.25">
      <c r="A232" s="25" t="s">
        <v>433</v>
      </c>
      <c r="B232" s="25" t="s">
        <v>1200</v>
      </c>
      <c r="C232" s="25" t="s">
        <v>1201</v>
      </c>
      <c r="D232" t="s">
        <v>756</v>
      </c>
    </row>
    <row r="233" spans="1:4" x14ac:dyDescent="0.25">
      <c r="A233" s="25" t="s">
        <v>1654</v>
      </c>
      <c r="B233" s="25" t="s">
        <v>1733</v>
      </c>
      <c r="C233" s="25" t="s">
        <v>1158</v>
      </c>
      <c r="D233" t="s">
        <v>1791</v>
      </c>
    </row>
    <row r="234" spans="1:4" x14ac:dyDescent="0.25">
      <c r="A234" s="25" t="s">
        <v>434</v>
      </c>
      <c r="B234" s="25" t="s">
        <v>1202</v>
      </c>
      <c r="C234" s="25" t="s">
        <v>124</v>
      </c>
      <c r="D234" t="s">
        <v>757</v>
      </c>
    </row>
    <row r="235" spans="1:4" x14ac:dyDescent="0.25">
      <c r="A235" s="25" t="s">
        <v>435</v>
      </c>
      <c r="B235" s="25" t="s">
        <v>1203</v>
      </c>
      <c r="C235" s="25" t="s">
        <v>1204</v>
      </c>
      <c r="D235" t="s">
        <v>758</v>
      </c>
    </row>
    <row r="236" spans="1:4" x14ac:dyDescent="0.25">
      <c r="A236" s="25" t="s">
        <v>436</v>
      </c>
      <c r="B236" s="25" t="s">
        <v>1205</v>
      </c>
      <c r="C236" s="25" t="s">
        <v>1206</v>
      </c>
      <c r="D236" t="s">
        <v>759</v>
      </c>
    </row>
    <row r="237" spans="1:4" x14ac:dyDescent="0.25">
      <c r="A237" s="25" t="s">
        <v>437</v>
      </c>
      <c r="B237" s="25" t="s">
        <v>1207</v>
      </c>
      <c r="C237" s="25" t="s">
        <v>1208</v>
      </c>
      <c r="D237" t="s">
        <v>760</v>
      </c>
    </row>
    <row r="238" spans="1:4" x14ac:dyDescent="0.25">
      <c r="A238" s="25" t="s">
        <v>438</v>
      </c>
      <c r="B238" s="25" t="s">
        <v>126</v>
      </c>
      <c r="C238" s="25" t="s">
        <v>127</v>
      </c>
      <c r="D238" t="s">
        <v>761</v>
      </c>
    </row>
    <row r="239" spans="1:4" x14ac:dyDescent="0.25">
      <c r="A239" s="25" t="s">
        <v>1655</v>
      </c>
      <c r="B239" s="25" t="s">
        <v>1734</v>
      </c>
      <c r="C239" s="25" t="s">
        <v>1735</v>
      </c>
      <c r="D239" t="s">
        <v>1792</v>
      </c>
    </row>
    <row r="240" spans="1:4" x14ac:dyDescent="0.25">
      <c r="A240" s="25" t="s">
        <v>439</v>
      </c>
      <c r="B240" s="25" t="s">
        <v>1209</v>
      </c>
      <c r="C240" s="25" t="s">
        <v>1210</v>
      </c>
      <c r="D240" t="s">
        <v>762</v>
      </c>
    </row>
    <row r="241" spans="1:4" x14ac:dyDescent="0.25">
      <c r="A241" s="25" t="s">
        <v>1656</v>
      </c>
      <c r="B241" s="25" t="s">
        <v>1736</v>
      </c>
      <c r="C241" s="25" t="s">
        <v>1737</v>
      </c>
      <c r="D241" t="s">
        <v>1793</v>
      </c>
    </row>
    <row r="242" spans="1:4" x14ac:dyDescent="0.25">
      <c r="A242" s="25" t="s">
        <v>440</v>
      </c>
      <c r="B242" s="25" t="s">
        <v>1211</v>
      </c>
      <c r="C242" s="25" t="s">
        <v>1212</v>
      </c>
      <c r="D242" t="s">
        <v>764</v>
      </c>
    </row>
    <row r="243" spans="1:4" x14ac:dyDescent="0.25">
      <c r="A243" s="25" t="s">
        <v>441</v>
      </c>
      <c r="B243" s="25" t="s">
        <v>1213</v>
      </c>
      <c r="C243" s="25" t="s">
        <v>1214</v>
      </c>
      <c r="D243" t="s">
        <v>765</v>
      </c>
    </row>
    <row r="244" spans="1:4" x14ac:dyDescent="0.25">
      <c r="A244" s="25" t="s">
        <v>442</v>
      </c>
      <c r="B244" s="25" t="s">
        <v>1215</v>
      </c>
      <c r="C244" s="25" t="s">
        <v>1216</v>
      </c>
      <c r="D244" t="s">
        <v>766</v>
      </c>
    </row>
    <row r="245" spans="1:4" x14ac:dyDescent="0.25">
      <c r="A245" s="25" t="s">
        <v>1657</v>
      </c>
      <c r="B245" s="25" t="s">
        <v>1217</v>
      </c>
      <c r="C245" s="25" t="s">
        <v>1738</v>
      </c>
      <c r="D245" t="s">
        <v>1794</v>
      </c>
    </row>
    <row r="246" spans="1:4" x14ac:dyDescent="0.25">
      <c r="A246" s="25" t="s">
        <v>443</v>
      </c>
      <c r="B246" s="25" t="s">
        <v>1217</v>
      </c>
      <c r="C246" s="25" t="s">
        <v>1218</v>
      </c>
      <c r="D246" t="s">
        <v>767</v>
      </c>
    </row>
    <row r="247" spans="1:4" x14ac:dyDescent="0.25">
      <c r="A247" s="25" t="s">
        <v>444</v>
      </c>
      <c r="B247" s="25" t="s">
        <v>1219</v>
      </c>
      <c r="C247" s="25" t="s">
        <v>1220</v>
      </c>
      <c r="D247" t="s">
        <v>768</v>
      </c>
    </row>
    <row r="248" spans="1:4" x14ac:dyDescent="0.25">
      <c r="A248" s="25" t="s">
        <v>1658</v>
      </c>
      <c r="B248" s="25" t="s">
        <v>1739</v>
      </c>
      <c r="C248" s="25" t="s">
        <v>1740</v>
      </c>
      <c r="D248" t="s">
        <v>1795</v>
      </c>
    </row>
    <row r="249" spans="1:4" x14ac:dyDescent="0.25">
      <c r="A249" s="25" t="s">
        <v>445</v>
      </c>
      <c r="B249" s="25" t="s">
        <v>1221</v>
      </c>
      <c r="C249" s="25" t="s">
        <v>1222</v>
      </c>
      <c r="D249" t="s">
        <v>769</v>
      </c>
    </row>
    <row r="250" spans="1:4" x14ac:dyDescent="0.25">
      <c r="A250" s="25" t="s">
        <v>446</v>
      </c>
      <c r="B250" s="25" t="s">
        <v>1223</v>
      </c>
      <c r="C250" s="25" t="s">
        <v>1224</v>
      </c>
      <c r="D250" t="s">
        <v>770</v>
      </c>
    </row>
    <row r="251" spans="1:4" x14ac:dyDescent="0.25">
      <c r="A251" s="25" t="s">
        <v>447</v>
      </c>
      <c r="B251" s="25" t="s">
        <v>1225</v>
      </c>
      <c r="C251" s="25" t="s">
        <v>1226</v>
      </c>
      <c r="D251" t="s">
        <v>771</v>
      </c>
    </row>
    <row r="252" spans="1:4" x14ac:dyDescent="0.25">
      <c r="A252" s="25" t="s">
        <v>448</v>
      </c>
      <c r="B252" s="25" t="s">
        <v>1227</v>
      </c>
      <c r="C252" s="25" t="s">
        <v>1228</v>
      </c>
      <c r="D252" t="s">
        <v>772</v>
      </c>
    </row>
    <row r="253" spans="1:4" x14ac:dyDescent="0.25">
      <c r="A253" s="25" t="s">
        <v>449</v>
      </c>
      <c r="B253" s="25" t="s">
        <v>1229</v>
      </c>
      <c r="C253" s="25" t="s">
        <v>1230</v>
      </c>
      <c r="D253" t="s">
        <v>773</v>
      </c>
    </row>
    <row r="254" spans="1:4" x14ac:dyDescent="0.25">
      <c r="A254" s="25" t="s">
        <v>450</v>
      </c>
      <c r="B254" s="25" t="s">
        <v>1231</v>
      </c>
      <c r="C254" s="25" t="s">
        <v>1232</v>
      </c>
      <c r="D254" t="s">
        <v>774</v>
      </c>
    </row>
    <row r="255" spans="1:4" x14ac:dyDescent="0.25">
      <c r="A255" s="25" t="s">
        <v>451</v>
      </c>
      <c r="B255" s="25" t="s">
        <v>152</v>
      </c>
      <c r="C255" s="25" t="s">
        <v>141</v>
      </c>
      <c r="D255" t="s">
        <v>776</v>
      </c>
    </row>
    <row r="256" spans="1:4" x14ac:dyDescent="0.25">
      <c r="A256" s="25" t="s">
        <v>452</v>
      </c>
      <c r="B256" s="25" t="s">
        <v>1233</v>
      </c>
      <c r="C256" s="25" t="s">
        <v>1234</v>
      </c>
      <c r="D256" t="s">
        <v>778</v>
      </c>
    </row>
    <row r="257" spans="1:4" x14ac:dyDescent="0.25">
      <c r="A257" s="25" t="s">
        <v>453</v>
      </c>
      <c r="B257" s="25" t="s">
        <v>1235</v>
      </c>
      <c r="C257" s="25" t="s">
        <v>1236</v>
      </c>
      <c r="D257" t="s">
        <v>780</v>
      </c>
    </row>
    <row r="258" spans="1:4" x14ac:dyDescent="0.25">
      <c r="A258" s="25" t="s">
        <v>454</v>
      </c>
      <c r="B258" s="25" t="s">
        <v>1237</v>
      </c>
      <c r="C258" s="25" t="s">
        <v>1238</v>
      </c>
      <c r="D258" t="s">
        <v>782</v>
      </c>
    </row>
    <row r="259" spans="1:4" x14ac:dyDescent="0.25">
      <c r="A259" s="25" t="s">
        <v>455</v>
      </c>
      <c r="B259" s="25" t="s">
        <v>1239</v>
      </c>
      <c r="C259" s="25" t="s">
        <v>1240</v>
      </c>
      <c r="D259" t="s">
        <v>783</v>
      </c>
    </row>
    <row r="260" spans="1:4" x14ac:dyDescent="0.25">
      <c r="A260" s="25" t="s">
        <v>456</v>
      </c>
      <c r="B260" s="25" t="s">
        <v>1241</v>
      </c>
      <c r="C260" s="25" t="s">
        <v>1242</v>
      </c>
      <c r="D260" t="s">
        <v>784</v>
      </c>
    </row>
    <row r="261" spans="1:4" x14ac:dyDescent="0.25">
      <c r="A261" s="25" t="s">
        <v>457</v>
      </c>
      <c r="B261" s="25" t="s">
        <v>1243</v>
      </c>
      <c r="C261" s="25" t="s">
        <v>1244</v>
      </c>
      <c r="D261" t="s">
        <v>785</v>
      </c>
    </row>
    <row r="262" spans="1:4" x14ac:dyDescent="0.25">
      <c r="A262" s="25" t="s">
        <v>458</v>
      </c>
      <c r="B262" s="25" t="s">
        <v>1245</v>
      </c>
      <c r="C262" s="25" t="s">
        <v>130</v>
      </c>
      <c r="D262" t="s">
        <v>787</v>
      </c>
    </row>
    <row r="263" spans="1:4" x14ac:dyDescent="0.25">
      <c r="A263" s="25" t="s">
        <v>459</v>
      </c>
      <c r="B263" s="25" t="s">
        <v>82</v>
      </c>
      <c r="C263" s="25" t="s">
        <v>33</v>
      </c>
      <c r="D263" t="s">
        <v>788</v>
      </c>
    </row>
    <row r="264" spans="1:4" x14ac:dyDescent="0.25">
      <c r="A264" s="25" t="s">
        <v>460</v>
      </c>
      <c r="B264" s="25" t="s">
        <v>1246</v>
      </c>
      <c r="C264" s="25" t="s">
        <v>1247</v>
      </c>
      <c r="D264" t="s">
        <v>789</v>
      </c>
    </row>
    <row r="265" spans="1:4" x14ac:dyDescent="0.25">
      <c r="A265" s="25" t="s">
        <v>461</v>
      </c>
      <c r="B265" s="25" t="s">
        <v>1248</v>
      </c>
      <c r="C265" s="25" t="s">
        <v>1249</v>
      </c>
      <c r="D265" t="s">
        <v>790</v>
      </c>
    </row>
    <row r="266" spans="1:4" x14ac:dyDescent="0.25">
      <c r="A266" s="25" t="s">
        <v>462</v>
      </c>
      <c r="B266" s="25" t="s">
        <v>1250</v>
      </c>
      <c r="C266" s="25" t="s">
        <v>1251</v>
      </c>
      <c r="D266" t="s">
        <v>791</v>
      </c>
    </row>
    <row r="267" spans="1:4" x14ac:dyDescent="0.25">
      <c r="A267" s="25" t="s">
        <v>463</v>
      </c>
      <c r="B267" s="25" t="s">
        <v>1250</v>
      </c>
      <c r="C267" s="25" t="s">
        <v>1252</v>
      </c>
      <c r="D267" t="s">
        <v>792</v>
      </c>
    </row>
    <row r="268" spans="1:4" x14ac:dyDescent="0.25">
      <c r="A268" s="25" t="s">
        <v>464</v>
      </c>
      <c r="B268" s="25" t="s">
        <v>1253</v>
      </c>
      <c r="C268" s="25" t="s">
        <v>1254</v>
      </c>
      <c r="D268" t="s">
        <v>794</v>
      </c>
    </row>
    <row r="269" spans="1:4" x14ac:dyDescent="0.25">
      <c r="A269" s="25" t="s">
        <v>1659</v>
      </c>
      <c r="B269" s="25" t="s">
        <v>1741</v>
      </c>
      <c r="C269" s="25" t="s">
        <v>1742</v>
      </c>
      <c r="D269" t="s">
        <v>1796</v>
      </c>
    </row>
    <row r="270" spans="1:4" x14ac:dyDescent="0.25">
      <c r="A270" s="25" t="s">
        <v>465</v>
      </c>
      <c r="B270" s="25" t="s">
        <v>1255</v>
      </c>
      <c r="C270" s="25" t="s">
        <v>1256</v>
      </c>
      <c r="D270" t="s">
        <v>795</v>
      </c>
    </row>
    <row r="271" spans="1:4" x14ac:dyDescent="0.25">
      <c r="A271" s="25" t="s">
        <v>466</v>
      </c>
      <c r="B271" s="25" t="s">
        <v>1257</v>
      </c>
      <c r="C271" s="25" t="s">
        <v>1258</v>
      </c>
      <c r="D271" t="s">
        <v>796</v>
      </c>
    </row>
    <row r="272" spans="1:4" x14ac:dyDescent="0.25">
      <c r="A272" s="25" t="s">
        <v>467</v>
      </c>
      <c r="B272" s="25" t="s">
        <v>1259</v>
      </c>
      <c r="C272" s="25" t="s">
        <v>1260</v>
      </c>
      <c r="D272" t="s">
        <v>797</v>
      </c>
    </row>
    <row r="273" spans="1:4" x14ac:dyDescent="0.25">
      <c r="A273" s="25" t="s">
        <v>1660</v>
      </c>
      <c r="B273" s="25" t="s">
        <v>1743</v>
      </c>
      <c r="C273" s="25" t="s">
        <v>1744</v>
      </c>
      <c r="D273" t="s">
        <v>1797</v>
      </c>
    </row>
    <row r="274" spans="1:4" x14ac:dyDescent="0.25">
      <c r="A274" s="25" t="s">
        <v>1661</v>
      </c>
      <c r="B274" s="25" t="s">
        <v>1745</v>
      </c>
      <c r="C274" s="25" t="s">
        <v>1746</v>
      </c>
      <c r="D274" t="s">
        <v>1798</v>
      </c>
    </row>
    <row r="275" spans="1:4" x14ac:dyDescent="0.25">
      <c r="A275" s="25" t="s">
        <v>468</v>
      </c>
      <c r="B275" s="25" t="s">
        <v>177</v>
      </c>
      <c r="C275" s="25" t="s">
        <v>172</v>
      </c>
      <c r="D275" t="s">
        <v>799</v>
      </c>
    </row>
    <row r="276" spans="1:4" x14ac:dyDescent="0.25">
      <c r="A276" s="25" t="s">
        <v>469</v>
      </c>
      <c r="B276" s="25" t="s">
        <v>1261</v>
      </c>
      <c r="C276" s="25" t="s">
        <v>1262</v>
      </c>
      <c r="D276" t="s">
        <v>800</v>
      </c>
    </row>
    <row r="277" spans="1:4" x14ac:dyDescent="0.25">
      <c r="A277" s="25" t="s">
        <v>470</v>
      </c>
      <c r="B277" s="25" t="s">
        <v>1263</v>
      </c>
      <c r="C277" s="25" t="s">
        <v>1264</v>
      </c>
      <c r="D277" t="s">
        <v>801</v>
      </c>
    </row>
    <row r="278" spans="1:4" x14ac:dyDescent="0.25">
      <c r="A278" s="25" t="s">
        <v>471</v>
      </c>
      <c r="B278" s="25" t="s">
        <v>153</v>
      </c>
      <c r="C278" s="25" t="s">
        <v>142</v>
      </c>
      <c r="D278" t="s">
        <v>802</v>
      </c>
    </row>
    <row r="279" spans="1:4" x14ac:dyDescent="0.25">
      <c r="A279" s="26" t="s">
        <v>472</v>
      </c>
      <c r="B279" s="26" t="s">
        <v>1265</v>
      </c>
      <c r="C279" s="26" t="s">
        <v>1266</v>
      </c>
      <c r="D279" t="s">
        <v>803</v>
      </c>
    </row>
    <row r="280" spans="1:4" x14ac:dyDescent="0.25">
      <c r="A280" s="25" t="s">
        <v>473</v>
      </c>
      <c r="B280" s="25" t="s">
        <v>154</v>
      </c>
      <c r="C280" s="25" t="s">
        <v>143</v>
      </c>
      <c r="D280" t="s">
        <v>804</v>
      </c>
    </row>
    <row r="281" spans="1:4" x14ac:dyDescent="0.25">
      <c r="A281" s="25" t="s">
        <v>474</v>
      </c>
      <c r="B281" s="25" t="s">
        <v>1267</v>
      </c>
      <c r="C281" s="25" t="s">
        <v>1268</v>
      </c>
      <c r="D281" t="s">
        <v>805</v>
      </c>
    </row>
    <row r="282" spans="1:4" x14ac:dyDescent="0.25">
      <c r="A282" s="25" t="s">
        <v>475</v>
      </c>
      <c r="B282" s="25" t="s">
        <v>1269</v>
      </c>
      <c r="C282" s="25" t="s">
        <v>1270</v>
      </c>
      <c r="D282" t="s">
        <v>807</v>
      </c>
    </row>
    <row r="283" spans="1:4" x14ac:dyDescent="0.25">
      <c r="A283" s="25" t="s">
        <v>476</v>
      </c>
      <c r="B283" s="25" t="s">
        <v>1271</v>
      </c>
      <c r="C283" s="25" t="s">
        <v>1272</v>
      </c>
      <c r="D283" t="s">
        <v>808</v>
      </c>
    </row>
    <row r="284" spans="1:4" x14ac:dyDescent="0.25">
      <c r="A284" s="25" t="s">
        <v>477</v>
      </c>
      <c r="B284" s="25" t="s">
        <v>1273</v>
      </c>
      <c r="C284" s="25" t="s">
        <v>1274</v>
      </c>
      <c r="D284" t="s">
        <v>809</v>
      </c>
    </row>
    <row r="285" spans="1:4" x14ac:dyDescent="0.25">
      <c r="A285" s="25" t="s">
        <v>478</v>
      </c>
      <c r="B285" s="25" t="s">
        <v>1275</v>
      </c>
      <c r="C285" s="25" t="s">
        <v>1276</v>
      </c>
      <c r="D285" t="s">
        <v>810</v>
      </c>
    </row>
    <row r="286" spans="1:4" x14ac:dyDescent="0.25">
      <c r="A286" s="25" t="s">
        <v>479</v>
      </c>
      <c r="B286" s="25" t="s">
        <v>1277</v>
      </c>
      <c r="C286" s="25" t="s">
        <v>1278</v>
      </c>
      <c r="D286" t="s">
        <v>811</v>
      </c>
    </row>
    <row r="287" spans="1:4" x14ac:dyDescent="0.25">
      <c r="A287" s="25" t="s">
        <v>480</v>
      </c>
      <c r="B287" s="25" t="s">
        <v>1279</v>
      </c>
      <c r="C287" s="25" t="s">
        <v>130</v>
      </c>
      <c r="D287" t="s">
        <v>812</v>
      </c>
    </row>
    <row r="288" spans="1:4" x14ac:dyDescent="0.25">
      <c r="A288" s="25" t="s">
        <v>481</v>
      </c>
      <c r="B288" s="25" t="s">
        <v>1280</v>
      </c>
      <c r="C288" s="25" t="s">
        <v>1281</v>
      </c>
      <c r="D288" t="s">
        <v>813</v>
      </c>
    </row>
    <row r="289" spans="1:4" x14ac:dyDescent="0.25">
      <c r="A289" s="25" t="s">
        <v>482</v>
      </c>
      <c r="B289" s="25" t="s">
        <v>1282</v>
      </c>
      <c r="C289" s="25" t="s">
        <v>1283</v>
      </c>
      <c r="D289" t="s">
        <v>814</v>
      </c>
    </row>
    <row r="290" spans="1:4" x14ac:dyDescent="0.25">
      <c r="A290" s="25" t="s">
        <v>483</v>
      </c>
      <c r="B290" s="25" t="s">
        <v>1284</v>
      </c>
      <c r="C290" s="25" t="s">
        <v>1285</v>
      </c>
      <c r="D290" t="s">
        <v>815</v>
      </c>
    </row>
    <row r="291" spans="1:4" x14ac:dyDescent="0.25">
      <c r="A291" s="25" t="s">
        <v>484</v>
      </c>
      <c r="B291" s="25" t="s">
        <v>1286</v>
      </c>
      <c r="C291" s="25" t="s">
        <v>124</v>
      </c>
      <c r="D291" t="s">
        <v>816</v>
      </c>
    </row>
    <row r="292" spans="1:4" x14ac:dyDescent="0.25">
      <c r="A292" s="25" t="s">
        <v>485</v>
      </c>
      <c r="B292" s="25" t="s">
        <v>1287</v>
      </c>
      <c r="C292" s="25" t="s">
        <v>1288</v>
      </c>
      <c r="D292" t="s">
        <v>817</v>
      </c>
    </row>
    <row r="293" spans="1:4" x14ac:dyDescent="0.25">
      <c r="A293" s="25" t="s">
        <v>486</v>
      </c>
      <c r="B293" s="25" t="s">
        <v>1289</v>
      </c>
      <c r="C293" s="25" t="s">
        <v>1290</v>
      </c>
      <c r="D293" t="s">
        <v>818</v>
      </c>
    </row>
    <row r="294" spans="1:4" x14ac:dyDescent="0.25">
      <c r="A294" s="25" t="s">
        <v>487</v>
      </c>
      <c r="B294" s="25" t="s">
        <v>1291</v>
      </c>
      <c r="C294" s="25" t="s">
        <v>1292</v>
      </c>
      <c r="D294" t="s">
        <v>819</v>
      </c>
    </row>
    <row r="295" spans="1:4" x14ac:dyDescent="0.25">
      <c r="A295" s="25" t="s">
        <v>488</v>
      </c>
      <c r="B295" s="25" t="s">
        <v>129</v>
      </c>
      <c r="C295" s="25" t="s">
        <v>130</v>
      </c>
      <c r="D295" t="s">
        <v>821</v>
      </c>
    </row>
    <row r="296" spans="1:4" x14ac:dyDescent="0.25">
      <c r="A296" s="25" t="s">
        <v>489</v>
      </c>
      <c r="B296" s="25" t="s">
        <v>1293</v>
      </c>
      <c r="C296" s="25" t="s">
        <v>1294</v>
      </c>
      <c r="D296" t="s">
        <v>822</v>
      </c>
    </row>
    <row r="297" spans="1:4" x14ac:dyDescent="0.25">
      <c r="A297" s="25" t="s">
        <v>490</v>
      </c>
      <c r="B297" s="25" t="s">
        <v>1295</v>
      </c>
      <c r="C297" s="25" t="s">
        <v>1296</v>
      </c>
      <c r="D297" t="s">
        <v>823</v>
      </c>
    </row>
    <row r="298" spans="1:4" x14ac:dyDescent="0.25">
      <c r="A298" s="25" t="s">
        <v>491</v>
      </c>
      <c r="B298" s="25" t="s">
        <v>1297</v>
      </c>
      <c r="C298" s="25" t="s">
        <v>1298</v>
      </c>
      <c r="D298" t="s">
        <v>824</v>
      </c>
    </row>
    <row r="299" spans="1:4" x14ac:dyDescent="0.25">
      <c r="A299" s="25" t="s">
        <v>492</v>
      </c>
      <c r="B299" s="25" t="s">
        <v>1299</v>
      </c>
      <c r="C299" s="25" t="s">
        <v>1300</v>
      </c>
      <c r="D299" t="s">
        <v>827</v>
      </c>
    </row>
    <row r="300" spans="1:4" x14ac:dyDescent="0.25">
      <c r="A300" s="25" t="s">
        <v>1662</v>
      </c>
      <c r="B300" s="25" t="s">
        <v>1747</v>
      </c>
      <c r="C300" s="25" t="s">
        <v>1748</v>
      </c>
      <c r="D300" t="s">
        <v>1799</v>
      </c>
    </row>
    <row r="301" spans="1:4" x14ac:dyDescent="0.25">
      <c r="A301" s="25" t="s">
        <v>493</v>
      </c>
      <c r="B301" s="25" t="s">
        <v>132</v>
      </c>
      <c r="C301" s="25" t="s">
        <v>39</v>
      </c>
      <c r="D301" t="s">
        <v>828</v>
      </c>
    </row>
    <row r="302" spans="1:4" x14ac:dyDescent="0.25">
      <c r="A302" s="25" t="s">
        <v>494</v>
      </c>
      <c r="B302" s="25" t="s">
        <v>155</v>
      </c>
      <c r="C302" s="25" t="s">
        <v>144</v>
      </c>
      <c r="D302" t="s">
        <v>829</v>
      </c>
    </row>
    <row r="303" spans="1:4" x14ac:dyDescent="0.25">
      <c r="A303" s="25" t="s">
        <v>495</v>
      </c>
      <c r="B303" s="25" t="s">
        <v>1301</v>
      </c>
      <c r="C303" s="25" t="s">
        <v>1302</v>
      </c>
      <c r="D303" t="s">
        <v>830</v>
      </c>
    </row>
    <row r="304" spans="1:4" x14ac:dyDescent="0.25">
      <c r="A304" s="25" t="s">
        <v>496</v>
      </c>
      <c r="B304" s="25" t="s">
        <v>1303</v>
      </c>
      <c r="C304" s="25" t="s">
        <v>1304</v>
      </c>
      <c r="D304" t="s">
        <v>831</v>
      </c>
    </row>
    <row r="305" spans="1:4" x14ac:dyDescent="0.25">
      <c r="A305" s="25" t="s">
        <v>497</v>
      </c>
      <c r="B305" s="25" t="s">
        <v>1305</v>
      </c>
      <c r="C305" s="25" t="s">
        <v>1306</v>
      </c>
      <c r="D305" t="s">
        <v>832</v>
      </c>
    </row>
    <row r="306" spans="1:4" x14ac:dyDescent="0.25">
      <c r="A306" s="25" t="s">
        <v>1663</v>
      </c>
      <c r="B306" s="25" t="s">
        <v>1749</v>
      </c>
      <c r="C306" s="25" t="s">
        <v>1750</v>
      </c>
      <c r="D306" t="s">
        <v>1800</v>
      </c>
    </row>
    <row r="307" spans="1:4" x14ac:dyDescent="0.25">
      <c r="A307" s="25" t="s">
        <v>498</v>
      </c>
      <c r="B307" s="25" t="s">
        <v>1307</v>
      </c>
      <c r="C307" s="25" t="s">
        <v>1308</v>
      </c>
      <c r="D307" t="s">
        <v>834</v>
      </c>
    </row>
    <row r="308" spans="1:4" x14ac:dyDescent="0.25">
      <c r="A308" s="25" t="s">
        <v>499</v>
      </c>
      <c r="B308" s="25" t="s">
        <v>1309</v>
      </c>
      <c r="C308" s="25" t="s">
        <v>1310</v>
      </c>
      <c r="D308" t="s">
        <v>835</v>
      </c>
    </row>
    <row r="309" spans="1:4" x14ac:dyDescent="0.25">
      <c r="A309" s="25" t="s">
        <v>1664</v>
      </c>
      <c r="B309" s="25" t="s">
        <v>1751</v>
      </c>
      <c r="C309" s="25" t="s">
        <v>1752</v>
      </c>
      <c r="D309" t="s">
        <v>1801</v>
      </c>
    </row>
    <row r="310" spans="1:4" x14ac:dyDescent="0.25">
      <c r="A310" s="25" t="s">
        <v>500</v>
      </c>
      <c r="B310" s="25" t="s">
        <v>178</v>
      </c>
      <c r="C310" s="25" t="s">
        <v>173</v>
      </c>
      <c r="D310" t="s">
        <v>836</v>
      </c>
    </row>
    <row r="311" spans="1:4" x14ac:dyDescent="0.25">
      <c r="A311" s="25" t="s">
        <v>501</v>
      </c>
      <c r="B311" s="25" t="s">
        <v>1311</v>
      </c>
      <c r="C311" s="25" t="s">
        <v>1312</v>
      </c>
      <c r="D311" t="s">
        <v>837</v>
      </c>
    </row>
    <row r="312" spans="1:4" x14ac:dyDescent="0.25">
      <c r="A312" s="25" t="s">
        <v>502</v>
      </c>
      <c r="B312" s="25" t="s">
        <v>1313</v>
      </c>
      <c r="C312" s="25" t="s">
        <v>1314</v>
      </c>
      <c r="D312" t="s">
        <v>838</v>
      </c>
    </row>
    <row r="313" spans="1:4" x14ac:dyDescent="0.25">
      <c r="A313" s="25" t="s">
        <v>503</v>
      </c>
      <c r="B313" s="25" t="s">
        <v>1315</v>
      </c>
      <c r="C313" s="25" t="s">
        <v>1316</v>
      </c>
      <c r="D313" t="s">
        <v>839</v>
      </c>
    </row>
    <row r="314" spans="1:4" x14ac:dyDescent="0.25">
      <c r="A314" s="25" t="s">
        <v>504</v>
      </c>
      <c r="B314" s="25" t="s">
        <v>93</v>
      </c>
      <c r="C314" s="25" t="s">
        <v>34</v>
      </c>
      <c r="D314" t="s">
        <v>840</v>
      </c>
    </row>
    <row r="315" spans="1:4" x14ac:dyDescent="0.25">
      <c r="A315" s="25" t="s">
        <v>505</v>
      </c>
      <c r="B315" s="25" t="s">
        <v>1317</v>
      </c>
      <c r="C315" s="25" t="s">
        <v>1318</v>
      </c>
      <c r="D315" t="s">
        <v>841</v>
      </c>
    </row>
    <row r="316" spans="1:4" x14ac:dyDescent="0.25">
      <c r="A316" s="25" t="s">
        <v>506</v>
      </c>
      <c r="B316" s="25" t="s">
        <v>1319</v>
      </c>
      <c r="C316" s="25" t="s">
        <v>1320</v>
      </c>
      <c r="D316" t="s">
        <v>842</v>
      </c>
    </row>
    <row r="317" spans="1:4" x14ac:dyDescent="0.25">
      <c r="A317" s="25" t="s">
        <v>507</v>
      </c>
      <c r="B317" s="25" t="s">
        <v>1321</v>
      </c>
      <c r="C317" s="25" t="s">
        <v>1322</v>
      </c>
      <c r="D317" t="s">
        <v>843</v>
      </c>
    </row>
    <row r="318" spans="1:4" x14ac:dyDescent="0.25">
      <c r="A318" s="25" t="s">
        <v>508</v>
      </c>
      <c r="B318" s="25" t="s">
        <v>1323</v>
      </c>
      <c r="C318" s="25" t="s">
        <v>1324</v>
      </c>
      <c r="D318" t="s">
        <v>844</v>
      </c>
    </row>
    <row r="319" spans="1:4" x14ac:dyDescent="0.25">
      <c r="A319" s="25" t="s">
        <v>1665</v>
      </c>
      <c r="B319" s="25" t="s">
        <v>1753</v>
      </c>
      <c r="C319" s="25" t="s">
        <v>1754</v>
      </c>
      <c r="D319" t="s">
        <v>1802</v>
      </c>
    </row>
    <row r="320" spans="1:4" x14ac:dyDescent="0.25">
      <c r="A320" s="25" t="s">
        <v>509</v>
      </c>
      <c r="B320" s="25" t="s">
        <v>1325</v>
      </c>
      <c r="C320" s="25" t="s">
        <v>1326</v>
      </c>
      <c r="D320" t="s">
        <v>846</v>
      </c>
    </row>
    <row r="321" spans="1:4" x14ac:dyDescent="0.25">
      <c r="A321" s="25" t="s">
        <v>510</v>
      </c>
      <c r="B321" s="25" t="s">
        <v>1327</v>
      </c>
      <c r="C321" s="25" t="s">
        <v>1328</v>
      </c>
      <c r="D321" t="s">
        <v>847</v>
      </c>
    </row>
    <row r="322" spans="1:4" x14ac:dyDescent="0.25">
      <c r="A322" s="25" t="s">
        <v>511</v>
      </c>
      <c r="B322" s="25" t="s">
        <v>179</v>
      </c>
      <c r="C322" s="25" t="s">
        <v>173</v>
      </c>
      <c r="D322" t="s">
        <v>849</v>
      </c>
    </row>
    <row r="323" spans="1:4" x14ac:dyDescent="0.25">
      <c r="A323" s="25" t="s">
        <v>512</v>
      </c>
      <c r="B323" s="25" t="s">
        <v>1329</v>
      </c>
      <c r="C323" s="25" t="s">
        <v>1330</v>
      </c>
      <c r="D323" t="s">
        <v>850</v>
      </c>
    </row>
    <row r="324" spans="1:4" x14ac:dyDescent="0.25">
      <c r="A324" s="25" t="s">
        <v>513</v>
      </c>
      <c r="B324" s="25" t="s">
        <v>1331</v>
      </c>
      <c r="C324" s="25" t="s">
        <v>1332</v>
      </c>
      <c r="D324" t="s">
        <v>851</v>
      </c>
    </row>
    <row r="325" spans="1:4" x14ac:dyDescent="0.25">
      <c r="A325" s="25" t="s">
        <v>514</v>
      </c>
      <c r="B325" s="25" t="s">
        <v>1333</v>
      </c>
      <c r="C325" s="25" t="s">
        <v>1334</v>
      </c>
      <c r="D325" t="s">
        <v>852</v>
      </c>
    </row>
    <row r="326" spans="1:4" x14ac:dyDescent="0.25">
      <c r="A326" s="25" t="s">
        <v>1666</v>
      </c>
      <c r="B326" s="25" t="s">
        <v>1755</v>
      </c>
      <c r="C326" s="25" t="s">
        <v>1756</v>
      </c>
      <c r="D326" t="s">
        <v>1803</v>
      </c>
    </row>
    <row r="327" spans="1:4" x14ac:dyDescent="0.25">
      <c r="A327" s="25" t="s">
        <v>515</v>
      </c>
      <c r="B327" s="25" t="s">
        <v>1335</v>
      </c>
      <c r="C327" s="25" t="s">
        <v>1336</v>
      </c>
      <c r="D327" t="s">
        <v>853</v>
      </c>
    </row>
    <row r="328" spans="1:4" x14ac:dyDescent="0.25">
      <c r="A328" s="25" t="s">
        <v>516</v>
      </c>
      <c r="B328" s="25" t="s">
        <v>1337</v>
      </c>
      <c r="C328" s="25" t="s">
        <v>1338</v>
      </c>
      <c r="D328" t="s">
        <v>854</v>
      </c>
    </row>
    <row r="329" spans="1:4" x14ac:dyDescent="0.25">
      <c r="A329" s="25" t="s">
        <v>517</v>
      </c>
      <c r="B329" s="25" t="s">
        <v>1339</v>
      </c>
      <c r="C329" s="25" t="s">
        <v>37</v>
      </c>
      <c r="D329" t="s">
        <v>855</v>
      </c>
    </row>
    <row r="330" spans="1:4" x14ac:dyDescent="0.25">
      <c r="A330" s="25" t="s">
        <v>518</v>
      </c>
      <c r="B330" s="25" t="s">
        <v>1340</v>
      </c>
      <c r="C330" s="25" t="s">
        <v>1341</v>
      </c>
      <c r="D330" t="s">
        <v>856</v>
      </c>
    </row>
    <row r="331" spans="1:4" x14ac:dyDescent="0.25">
      <c r="A331" s="25" t="s">
        <v>519</v>
      </c>
      <c r="B331" s="25" t="s">
        <v>1342</v>
      </c>
      <c r="C331" s="25" t="s">
        <v>1343</v>
      </c>
      <c r="D331" t="s">
        <v>857</v>
      </c>
    </row>
    <row r="332" spans="1:4" x14ac:dyDescent="0.25">
      <c r="A332" s="25" t="s">
        <v>520</v>
      </c>
      <c r="B332" s="25" t="s">
        <v>1344</v>
      </c>
      <c r="C332" s="25" t="s">
        <v>1345</v>
      </c>
      <c r="D332" t="s">
        <v>858</v>
      </c>
    </row>
    <row r="333" spans="1:4" x14ac:dyDescent="0.25">
      <c r="A333" s="25" t="s">
        <v>521</v>
      </c>
      <c r="B333" s="25" t="s">
        <v>95</v>
      </c>
      <c r="C333" s="25" t="s">
        <v>96</v>
      </c>
      <c r="D333" t="s">
        <v>859</v>
      </c>
    </row>
    <row r="334" spans="1:4" x14ac:dyDescent="0.25">
      <c r="A334" s="25" t="s">
        <v>522</v>
      </c>
      <c r="B334" s="25" t="s">
        <v>1346</v>
      </c>
      <c r="C334" s="25" t="s">
        <v>1347</v>
      </c>
      <c r="D334" t="s">
        <v>860</v>
      </c>
    </row>
    <row r="335" spans="1:4" x14ac:dyDescent="0.25">
      <c r="A335" s="25" t="s">
        <v>523</v>
      </c>
      <c r="B335" s="25" t="s">
        <v>1348</v>
      </c>
      <c r="C335" s="25" t="s">
        <v>1349</v>
      </c>
      <c r="D335" t="s">
        <v>861</v>
      </c>
    </row>
    <row r="336" spans="1:4" x14ac:dyDescent="0.25">
      <c r="A336" s="25" t="s">
        <v>524</v>
      </c>
      <c r="B336" s="25" t="s">
        <v>1350</v>
      </c>
      <c r="C336" s="25" t="s">
        <v>1351</v>
      </c>
      <c r="D336" t="s">
        <v>862</v>
      </c>
    </row>
    <row r="337" spans="1:4" x14ac:dyDescent="0.25">
      <c r="A337" s="25" t="s">
        <v>525</v>
      </c>
      <c r="B337" s="25" t="s">
        <v>1352</v>
      </c>
      <c r="C337" s="25" t="s">
        <v>1353</v>
      </c>
      <c r="D337" t="s">
        <v>863</v>
      </c>
    </row>
    <row r="338" spans="1:4" x14ac:dyDescent="0.25">
      <c r="A338" s="25" t="s">
        <v>526</v>
      </c>
      <c r="B338" s="25" t="s">
        <v>180</v>
      </c>
      <c r="C338" s="25" t="s">
        <v>174</v>
      </c>
      <c r="D338" t="s">
        <v>864</v>
      </c>
    </row>
    <row r="339" spans="1:4" x14ac:dyDescent="0.25">
      <c r="A339" s="25" t="s">
        <v>527</v>
      </c>
      <c r="B339" s="25" t="s">
        <v>1354</v>
      </c>
      <c r="C339" s="25" t="s">
        <v>1355</v>
      </c>
      <c r="D339" t="s">
        <v>865</v>
      </c>
    </row>
    <row r="340" spans="1:4" x14ac:dyDescent="0.25">
      <c r="A340" s="25" t="s">
        <v>528</v>
      </c>
      <c r="B340" s="25" t="s">
        <v>1356</v>
      </c>
      <c r="C340" s="25" t="s">
        <v>1357</v>
      </c>
      <c r="D340" t="s">
        <v>867</v>
      </c>
    </row>
    <row r="341" spans="1:4" x14ac:dyDescent="0.25">
      <c r="A341" s="25" t="s">
        <v>529</v>
      </c>
      <c r="B341" s="25" t="s">
        <v>1358</v>
      </c>
      <c r="C341" s="25" t="s">
        <v>1359</v>
      </c>
      <c r="D341" t="s">
        <v>869</v>
      </c>
    </row>
    <row r="342" spans="1:4" x14ac:dyDescent="0.25">
      <c r="A342" s="25" t="s">
        <v>530</v>
      </c>
      <c r="B342" s="25" t="s">
        <v>1360</v>
      </c>
      <c r="C342" s="25" t="s">
        <v>1361</v>
      </c>
      <c r="D342" t="s">
        <v>870</v>
      </c>
    </row>
    <row r="343" spans="1:4" x14ac:dyDescent="0.25">
      <c r="A343" s="25" t="s">
        <v>531</v>
      </c>
      <c r="B343" s="25" t="s">
        <v>1362</v>
      </c>
      <c r="C343" s="25" t="s">
        <v>1363</v>
      </c>
      <c r="D343" t="s">
        <v>872</v>
      </c>
    </row>
    <row r="344" spans="1:4" x14ac:dyDescent="0.25">
      <c r="A344" t="s">
        <v>532</v>
      </c>
      <c r="B344" t="s">
        <v>1364</v>
      </c>
      <c r="C344" t="s">
        <v>1365</v>
      </c>
      <c r="D344" t="s">
        <v>875</v>
      </c>
    </row>
    <row r="345" spans="1:4" x14ac:dyDescent="0.25">
      <c r="A345" t="s">
        <v>533</v>
      </c>
      <c r="B345" t="s">
        <v>1366</v>
      </c>
      <c r="C345" t="s">
        <v>1367</v>
      </c>
      <c r="D345" t="s">
        <v>876</v>
      </c>
    </row>
    <row r="346" spans="1:4" x14ac:dyDescent="0.25">
      <c r="A346" t="s">
        <v>1667</v>
      </c>
      <c r="B346" t="s">
        <v>1757</v>
      </c>
      <c r="C346" t="s">
        <v>1144</v>
      </c>
      <c r="D346" t="s">
        <v>1804</v>
      </c>
    </row>
    <row r="347" spans="1:4" x14ac:dyDescent="0.25">
      <c r="A347" t="s">
        <v>534</v>
      </c>
      <c r="B347" t="s">
        <v>1368</v>
      </c>
      <c r="C347" t="s">
        <v>1369</v>
      </c>
      <c r="D347" t="s">
        <v>877</v>
      </c>
    </row>
    <row r="348" spans="1:4" x14ac:dyDescent="0.25">
      <c r="A348" t="s">
        <v>1807</v>
      </c>
      <c r="B348" t="s">
        <v>1805</v>
      </c>
      <c r="C348" t="s">
        <v>1806</v>
      </c>
      <c r="D348">
        <v>104072</v>
      </c>
    </row>
    <row r="349" spans="1:4" x14ac:dyDescent="0.25">
      <c r="A349" s="25" t="s">
        <v>1621</v>
      </c>
      <c r="B349" s="25" t="s">
        <v>1668</v>
      </c>
      <c r="C349" s="25" t="s">
        <v>1669</v>
      </c>
      <c r="D349" s="25" t="s">
        <v>1758</v>
      </c>
    </row>
    <row r="350" spans="1:4" x14ac:dyDescent="0.25">
      <c r="A350" s="25" t="s">
        <v>1623</v>
      </c>
      <c r="B350" s="25" t="s">
        <v>1672</v>
      </c>
      <c r="C350" s="25" t="s">
        <v>1673</v>
      </c>
      <c r="D350" s="25" t="s">
        <v>1760</v>
      </c>
    </row>
    <row r="351" spans="1:4" x14ac:dyDescent="0.25">
      <c r="A351" s="25" t="s">
        <v>258</v>
      </c>
      <c r="B351" s="25" t="s">
        <v>914</v>
      </c>
      <c r="C351" s="25" t="s">
        <v>915</v>
      </c>
      <c r="D351" s="25" t="s">
        <v>561</v>
      </c>
    </row>
    <row r="352" spans="1:4" x14ac:dyDescent="0.25">
      <c r="A352" s="25" t="s">
        <v>1626</v>
      </c>
      <c r="B352" s="25" t="s">
        <v>1678</v>
      </c>
      <c r="C352" s="25" t="s">
        <v>1679</v>
      </c>
      <c r="D352" s="25" t="s">
        <v>1763</v>
      </c>
    </row>
    <row r="353" spans="1:4" x14ac:dyDescent="0.25">
      <c r="A353" s="25" t="s">
        <v>1627</v>
      </c>
      <c r="B353" s="25" t="s">
        <v>1680</v>
      </c>
      <c r="C353" s="25" t="s">
        <v>1681</v>
      </c>
      <c r="D353" s="25" t="s">
        <v>1764</v>
      </c>
    </row>
    <row r="354" spans="1:4" x14ac:dyDescent="0.25">
      <c r="A354" s="25" t="s">
        <v>275</v>
      </c>
      <c r="B354" s="25" t="s">
        <v>83</v>
      </c>
      <c r="C354" s="25" t="s">
        <v>84</v>
      </c>
      <c r="D354" s="25" t="s">
        <v>580</v>
      </c>
    </row>
    <row r="355" spans="1:4" x14ac:dyDescent="0.25">
      <c r="A355" s="25" t="s">
        <v>1631</v>
      </c>
      <c r="B355" s="25" t="s">
        <v>1687</v>
      </c>
      <c r="C355" s="25" t="s">
        <v>1688</v>
      </c>
      <c r="D355" s="25" t="s">
        <v>1768</v>
      </c>
    </row>
    <row r="356" spans="1:4" x14ac:dyDescent="0.25">
      <c r="A356" s="25" t="s">
        <v>1638</v>
      </c>
      <c r="B356" s="25" t="s">
        <v>1701</v>
      </c>
      <c r="C356" s="25" t="s">
        <v>1702</v>
      </c>
      <c r="D356" s="25" t="s">
        <v>1775</v>
      </c>
    </row>
    <row r="357" spans="1:4" x14ac:dyDescent="0.25">
      <c r="A357" s="25" t="s">
        <v>306</v>
      </c>
      <c r="B357" s="25" t="s">
        <v>995</v>
      </c>
      <c r="C357" s="25" t="s">
        <v>996</v>
      </c>
      <c r="D357" s="25" t="s">
        <v>615</v>
      </c>
    </row>
    <row r="358" spans="1:4" x14ac:dyDescent="0.25">
      <c r="A358" s="25" t="s">
        <v>360</v>
      </c>
      <c r="B358" s="25" t="s">
        <v>1085</v>
      </c>
      <c r="C358" s="25" t="s">
        <v>1086</v>
      </c>
      <c r="D358" s="25" t="s">
        <v>674</v>
      </c>
    </row>
    <row r="359" spans="1:4" x14ac:dyDescent="0.25">
      <c r="A359" s="25" t="s">
        <v>1643</v>
      </c>
      <c r="B359" s="25" t="s">
        <v>1710</v>
      </c>
      <c r="C359" s="25" t="s">
        <v>1711</v>
      </c>
      <c r="D359" s="25" t="s">
        <v>1780</v>
      </c>
    </row>
    <row r="360" spans="1:4" x14ac:dyDescent="0.25">
      <c r="A360" s="25" t="s">
        <v>370</v>
      </c>
      <c r="B360" s="25" t="s">
        <v>1100</v>
      </c>
      <c r="C360" s="25" t="s">
        <v>1070</v>
      </c>
      <c r="D360" s="25" t="s">
        <v>684</v>
      </c>
    </row>
    <row r="361" spans="1:4" x14ac:dyDescent="0.25">
      <c r="A361" s="25" t="s">
        <v>1644</v>
      </c>
      <c r="B361" s="25" t="s">
        <v>1712</v>
      </c>
      <c r="C361" s="25" t="s">
        <v>1713</v>
      </c>
      <c r="D361" s="25" t="s">
        <v>1781</v>
      </c>
    </row>
    <row r="362" spans="1:4" x14ac:dyDescent="0.25">
      <c r="A362" s="25" t="s">
        <v>1646</v>
      </c>
      <c r="B362" s="25" t="s">
        <v>1716</v>
      </c>
      <c r="C362" s="25" t="s">
        <v>1717</v>
      </c>
      <c r="D362" s="25" t="s">
        <v>1783</v>
      </c>
    </row>
    <row r="363" spans="1:4" x14ac:dyDescent="0.25">
      <c r="A363" s="25" t="s">
        <v>1653</v>
      </c>
      <c r="B363" s="25" t="s">
        <v>1731</v>
      </c>
      <c r="C363" s="25" t="s">
        <v>1732</v>
      </c>
      <c r="D363" s="25" t="s">
        <v>1790</v>
      </c>
    </row>
    <row r="364" spans="1:4" x14ac:dyDescent="0.25">
      <c r="A364" s="25" t="s">
        <v>1656</v>
      </c>
      <c r="B364" s="25" t="s">
        <v>1736</v>
      </c>
      <c r="C364" s="25" t="s">
        <v>1737</v>
      </c>
      <c r="D364" s="25" t="s">
        <v>1793</v>
      </c>
    </row>
    <row r="365" spans="1:4" x14ac:dyDescent="0.25">
      <c r="A365" s="25" t="s">
        <v>1659</v>
      </c>
      <c r="B365" s="25" t="s">
        <v>1741</v>
      </c>
      <c r="C365" s="25" t="s">
        <v>1742</v>
      </c>
      <c r="D365" s="25" t="s">
        <v>1796</v>
      </c>
    </row>
    <row r="366" spans="1:4" x14ac:dyDescent="0.25">
      <c r="A366" s="25" t="s">
        <v>1661</v>
      </c>
      <c r="B366" s="25" t="s">
        <v>1745</v>
      </c>
      <c r="C366" s="25" t="s">
        <v>1746</v>
      </c>
      <c r="D366" s="25" t="s">
        <v>1798</v>
      </c>
    </row>
    <row r="367" spans="1:4" x14ac:dyDescent="0.25">
      <c r="A367" s="25" t="s">
        <v>1662</v>
      </c>
      <c r="B367" s="25" t="s">
        <v>1747</v>
      </c>
      <c r="C367" s="25" t="s">
        <v>1748</v>
      </c>
      <c r="D367" s="25" t="s">
        <v>1799</v>
      </c>
    </row>
    <row r="368" spans="1:4" x14ac:dyDescent="0.25">
      <c r="A368" s="25" t="s">
        <v>1667</v>
      </c>
      <c r="B368" s="25" t="s">
        <v>1757</v>
      </c>
      <c r="C368" s="25" t="s">
        <v>1144</v>
      </c>
      <c r="D368" s="25" t="s">
        <v>1804</v>
      </c>
    </row>
    <row r="369" spans="1:4" x14ac:dyDescent="0.25">
      <c r="A369" s="25" t="s">
        <v>236</v>
      </c>
      <c r="B369" s="25" t="s">
        <v>879</v>
      </c>
      <c r="C369" s="25" t="s">
        <v>880</v>
      </c>
      <c r="D369" s="25" t="s">
        <v>536</v>
      </c>
    </row>
    <row r="370" spans="1:4" x14ac:dyDescent="0.25">
      <c r="A370" s="25" t="s">
        <v>1624</v>
      </c>
      <c r="B370" s="25" t="s">
        <v>1674</v>
      </c>
      <c r="C370" s="25" t="s">
        <v>1330</v>
      </c>
      <c r="D370" s="25" t="s">
        <v>1761</v>
      </c>
    </row>
    <row r="371" spans="1:4" x14ac:dyDescent="0.25">
      <c r="A371" s="25" t="s">
        <v>256</v>
      </c>
      <c r="B371" s="25" t="s">
        <v>910</v>
      </c>
      <c r="C371" s="25" t="s">
        <v>911</v>
      </c>
      <c r="D371" s="25" t="s">
        <v>559</v>
      </c>
    </row>
    <row r="372" spans="1:4" x14ac:dyDescent="0.25">
      <c r="A372" s="25" t="s">
        <v>1854</v>
      </c>
      <c r="B372" s="25" t="s">
        <v>1678</v>
      </c>
      <c r="C372" s="25" t="s">
        <v>1855</v>
      </c>
      <c r="D372" s="25" t="s">
        <v>1872</v>
      </c>
    </row>
    <row r="373" spans="1:4" x14ac:dyDescent="0.25">
      <c r="A373" s="25" t="s">
        <v>1856</v>
      </c>
      <c r="B373" s="25" t="s">
        <v>1857</v>
      </c>
      <c r="C373" s="25" t="s">
        <v>1858</v>
      </c>
      <c r="D373" s="25" t="s">
        <v>1873</v>
      </c>
    </row>
    <row r="374" spans="1:4" x14ac:dyDescent="0.25">
      <c r="A374" s="25" t="s">
        <v>1637</v>
      </c>
      <c r="B374" s="25" t="s">
        <v>1699</v>
      </c>
      <c r="C374" s="25" t="s">
        <v>1700</v>
      </c>
      <c r="D374" s="25" t="s">
        <v>1774</v>
      </c>
    </row>
    <row r="375" spans="1:4" x14ac:dyDescent="0.25">
      <c r="A375" s="25" t="s">
        <v>349</v>
      </c>
      <c r="B375" s="25" t="s">
        <v>1071</v>
      </c>
      <c r="C375" s="25" t="s">
        <v>1072</v>
      </c>
      <c r="D375" s="25" t="s">
        <v>663</v>
      </c>
    </row>
    <row r="376" spans="1:4" x14ac:dyDescent="0.25">
      <c r="A376" s="25" t="s">
        <v>1815</v>
      </c>
      <c r="B376" s="25" t="s">
        <v>1859</v>
      </c>
      <c r="C376" s="25" t="s">
        <v>1860</v>
      </c>
      <c r="D376" s="25" t="s">
        <v>1874</v>
      </c>
    </row>
    <row r="377" spans="1:4" x14ac:dyDescent="0.25">
      <c r="A377" s="25" t="s">
        <v>375</v>
      </c>
      <c r="B377" s="25" t="s">
        <v>1108</v>
      </c>
      <c r="C377" s="25" t="s">
        <v>1109</v>
      </c>
      <c r="D377" s="25" t="s">
        <v>690</v>
      </c>
    </row>
    <row r="378" spans="1:4" x14ac:dyDescent="0.25">
      <c r="A378" s="25" t="s">
        <v>1861</v>
      </c>
      <c r="B378" s="25" t="s">
        <v>1862</v>
      </c>
      <c r="C378" s="25" t="s">
        <v>1863</v>
      </c>
      <c r="D378" s="25" t="s">
        <v>1875</v>
      </c>
    </row>
    <row r="379" spans="1:4" x14ac:dyDescent="0.25">
      <c r="A379" s="25" t="s">
        <v>1655</v>
      </c>
      <c r="B379" s="25" t="s">
        <v>1734</v>
      </c>
      <c r="C379" s="25" t="s">
        <v>1735</v>
      </c>
      <c r="D379" s="25" t="s">
        <v>1792</v>
      </c>
    </row>
    <row r="380" spans="1:4" x14ac:dyDescent="0.25">
      <c r="A380" s="25" t="s">
        <v>1864</v>
      </c>
      <c r="B380" s="25" t="s">
        <v>1865</v>
      </c>
      <c r="C380" s="25" t="s">
        <v>1866</v>
      </c>
      <c r="D380" s="25" t="s">
        <v>1876</v>
      </c>
    </row>
    <row r="381" spans="1:4" x14ac:dyDescent="0.25">
      <c r="A381" s="25" t="s">
        <v>465</v>
      </c>
      <c r="B381" s="25" t="s">
        <v>1255</v>
      </c>
      <c r="C381" s="25" t="s">
        <v>1256</v>
      </c>
      <c r="D381" s="25" t="s">
        <v>795</v>
      </c>
    </row>
    <row r="382" spans="1:4" x14ac:dyDescent="0.25">
      <c r="A382" s="25" t="s">
        <v>1660</v>
      </c>
      <c r="B382" s="25" t="s">
        <v>1743</v>
      </c>
      <c r="C382" s="25" t="s">
        <v>1744</v>
      </c>
      <c r="D382" s="25" t="s">
        <v>1797</v>
      </c>
    </row>
    <row r="383" spans="1:4" x14ac:dyDescent="0.25">
      <c r="A383" s="25" t="s">
        <v>496</v>
      </c>
      <c r="B383" s="25" t="s">
        <v>1303</v>
      </c>
      <c r="C383" s="25" t="s">
        <v>1304</v>
      </c>
      <c r="D383" s="25" t="s">
        <v>831</v>
      </c>
    </row>
    <row r="384" spans="1:4" x14ac:dyDescent="0.25">
      <c r="A384" s="25" t="s">
        <v>1663</v>
      </c>
      <c r="B384" s="25" t="s">
        <v>1749</v>
      </c>
      <c r="C384" s="25" t="s">
        <v>1750</v>
      </c>
      <c r="D384" s="25" t="s">
        <v>1800</v>
      </c>
    </row>
    <row r="385" spans="1:4" x14ac:dyDescent="0.25">
      <c r="A385" s="25" t="s">
        <v>1666</v>
      </c>
      <c r="B385" s="25" t="s">
        <v>1755</v>
      </c>
      <c r="C385" s="25" t="s">
        <v>1756</v>
      </c>
      <c r="D385" s="25" t="s">
        <v>1803</v>
      </c>
    </row>
    <row r="386" spans="1:4" x14ac:dyDescent="0.25">
      <c r="A386" s="25" t="s">
        <v>1867</v>
      </c>
      <c r="B386" s="25" t="s">
        <v>1868</v>
      </c>
      <c r="C386" s="25" t="s">
        <v>1869</v>
      </c>
      <c r="D386" s="25" t="s">
        <v>1877</v>
      </c>
    </row>
    <row r="387" spans="1:4" x14ac:dyDescent="0.25">
      <c r="A387" s="25" t="s">
        <v>515</v>
      </c>
      <c r="B387" s="25" t="s">
        <v>1335</v>
      </c>
      <c r="C387" s="25" t="s">
        <v>1336</v>
      </c>
      <c r="D387" s="25" t="s">
        <v>853</v>
      </c>
    </row>
    <row r="388" spans="1:4" x14ac:dyDescent="0.25">
      <c r="A388" s="25" t="s">
        <v>1851</v>
      </c>
      <c r="B388" s="25" t="s">
        <v>1870</v>
      </c>
      <c r="C388" s="25" t="s">
        <v>1871</v>
      </c>
      <c r="D388" s="25" t="s">
        <v>1878</v>
      </c>
    </row>
    <row r="389" spans="1:4" x14ac:dyDescent="0.25">
      <c r="A389" t="s">
        <v>1959</v>
      </c>
      <c r="B389" t="s">
        <v>1960</v>
      </c>
      <c r="C389" t="s">
        <v>1961</v>
      </c>
      <c r="D389" t="s">
        <v>2568</v>
      </c>
    </row>
    <row r="390" spans="1:4" x14ac:dyDescent="0.25">
      <c r="A390" t="s">
        <v>1962</v>
      </c>
      <c r="B390" t="s">
        <v>1963</v>
      </c>
      <c r="C390" t="s">
        <v>1964</v>
      </c>
      <c r="D390" t="s">
        <v>2569</v>
      </c>
    </row>
    <row r="391" spans="1:4" x14ac:dyDescent="0.25">
      <c r="A391" t="s">
        <v>1965</v>
      </c>
      <c r="B391" t="s">
        <v>1966</v>
      </c>
      <c r="C391" t="s">
        <v>1967</v>
      </c>
      <c r="D391" t="s">
        <v>2570</v>
      </c>
    </row>
    <row r="392" spans="1:4" x14ac:dyDescent="0.25">
      <c r="A392" t="s">
        <v>1968</v>
      </c>
      <c r="B392" t="s">
        <v>1969</v>
      </c>
      <c r="C392" t="s">
        <v>1866</v>
      </c>
      <c r="D392" t="s">
        <v>2571</v>
      </c>
    </row>
    <row r="393" spans="1:4" x14ac:dyDescent="0.25">
      <c r="A393" t="s">
        <v>1970</v>
      </c>
      <c r="B393" t="s">
        <v>1971</v>
      </c>
      <c r="C393" t="s">
        <v>1972</v>
      </c>
      <c r="D393" t="s">
        <v>2572</v>
      </c>
    </row>
    <row r="394" spans="1:4" x14ac:dyDescent="0.25">
      <c r="A394" t="s">
        <v>1958</v>
      </c>
      <c r="B394" t="s">
        <v>1973</v>
      </c>
      <c r="C394" t="s">
        <v>998</v>
      </c>
      <c r="D394" t="s">
        <v>2573</v>
      </c>
    </row>
    <row r="395" spans="1:4" x14ac:dyDescent="0.25">
      <c r="A395" t="s">
        <v>1974</v>
      </c>
      <c r="B395" t="s">
        <v>1975</v>
      </c>
      <c r="C395" t="s">
        <v>915</v>
      </c>
      <c r="D395" t="s">
        <v>2574</v>
      </c>
    </row>
    <row r="396" spans="1:4" x14ac:dyDescent="0.25">
      <c r="A396" t="s">
        <v>1976</v>
      </c>
      <c r="B396" t="s">
        <v>1977</v>
      </c>
      <c r="C396" t="s">
        <v>1978</v>
      </c>
      <c r="D396" t="s">
        <v>2575</v>
      </c>
    </row>
    <row r="397" spans="1:4" x14ac:dyDescent="0.25">
      <c r="A397" t="s">
        <v>1979</v>
      </c>
      <c r="B397" t="s">
        <v>1980</v>
      </c>
      <c r="C397" t="s">
        <v>1981</v>
      </c>
      <c r="D397" t="s">
        <v>2576</v>
      </c>
    </row>
    <row r="398" spans="1:4" x14ac:dyDescent="0.25">
      <c r="A398" t="s">
        <v>1982</v>
      </c>
      <c r="B398" t="s">
        <v>1983</v>
      </c>
      <c r="C398" t="s">
        <v>1984</v>
      </c>
      <c r="D398" t="s">
        <v>2577</v>
      </c>
    </row>
    <row r="399" spans="1:4" x14ac:dyDescent="0.25">
      <c r="A399" t="s">
        <v>1985</v>
      </c>
      <c r="B399" t="s">
        <v>1986</v>
      </c>
      <c r="C399" t="s">
        <v>1987</v>
      </c>
      <c r="D399" t="s">
        <v>2578</v>
      </c>
    </row>
    <row r="400" spans="1:4" x14ac:dyDescent="0.25">
      <c r="A400" t="s">
        <v>1988</v>
      </c>
      <c r="B400" t="s">
        <v>1989</v>
      </c>
      <c r="C400" t="s">
        <v>1990</v>
      </c>
      <c r="D400" t="s">
        <v>2579</v>
      </c>
    </row>
    <row r="401" spans="1:4" x14ac:dyDescent="0.25">
      <c r="A401" t="s">
        <v>1991</v>
      </c>
      <c r="B401" t="s">
        <v>1992</v>
      </c>
      <c r="C401" t="s">
        <v>1993</v>
      </c>
      <c r="D401" t="s">
        <v>2580</v>
      </c>
    </row>
    <row r="402" spans="1:4" x14ac:dyDescent="0.25">
      <c r="A402" t="s">
        <v>1994</v>
      </c>
      <c r="B402" t="s">
        <v>1995</v>
      </c>
      <c r="C402" t="s">
        <v>1996</v>
      </c>
      <c r="D402" t="s">
        <v>2581</v>
      </c>
    </row>
    <row r="403" spans="1:4" x14ac:dyDescent="0.25">
      <c r="A403" t="s">
        <v>1997</v>
      </c>
      <c r="B403" t="s">
        <v>1998</v>
      </c>
      <c r="C403" t="s">
        <v>1999</v>
      </c>
      <c r="D403" t="s">
        <v>2582</v>
      </c>
    </row>
    <row r="404" spans="1:4" x14ac:dyDescent="0.25">
      <c r="A404" t="s">
        <v>2000</v>
      </c>
      <c r="B404" t="s">
        <v>2001</v>
      </c>
      <c r="C404" t="s">
        <v>2002</v>
      </c>
      <c r="D404" t="s">
        <v>2583</v>
      </c>
    </row>
    <row r="405" spans="1:4" x14ac:dyDescent="0.25">
      <c r="A405" t="s">
        <v>2003</v>
      </c>
      <c r="B405" t="s">
        <v>2004</v>
      </c>
      <c r="C405" t="s">
        <v>2005</v>
      </c>
      <c r="D405" t="s">
        <v>2584</v>
      </c>
    </row>
    <row r="406" spans="1:4" x14ac:dyDescent="0.25">
      <c r="A406" t="s">
        <v>2006</v>
      </c>
      <c r="B406" t="s">
        <v>2007</v>
      </c>
      <c r="C406" t="s">
        <v>2008</v>
      </c>
      <c r="D406" t="s">
        <v>2585</v>
      </c>
    </row>
    <row r="407" spans="1:4" x14ac:dyDescent="0.25">
      <c r="A407" t="s">
        <v>2009</v>
      </c>
      <c r="B407" t="s">
        <v>2010</v>
      </c>
      <c r="C407" t="s">
        <v>2011</v>
      </c>
      <c r="D407" t="s">
        <v>2586</v>
      </c>
    </row>
    <row r="408" spans="1:4" x14ac:dyDescent="0.25">
      <c r="A408" t="s">
        <v>2012</v>
      </c>
      <c r="B408" t="s">
        <v>2013</v>
      </c>
      <c r="C408" t="s">
        <v>1330</v>
      </c>
      <c r="D408" t="s">
        <v>2587</v>
      </c>
    </row>
    <row r="409" spans="1:4" x14ac:dyDescent="0.25">
      <c r="A409" t="s">
        <v>2014</v>
      </c>
      <c r="B409" t="s">
        <v>2015</v>
      </c>
      <c r="C409" t="s">
        <v>2016</v>
      </c>
      <c r="D409" t="s">
        <v>2588</v>
      </c>
    </row>
    <row r="410" spans="1:4" x14ac:dyDescent="0.25">
      <c r="A410" t="s">
        <v>2017</v>
      </c>
      <c r="B410" t="s">
        <v>2018</v>
      </c>
      <c r="C410" t="s">
        <v>2019</v>
      </c>
      <c r="D410" t="s">
        <v>2589</v>
      </c>
    </row>
    <row r="411" spans="1:4" x14ac:dyDescent="0.25">
      <c r="A411" t="s">
        <v>2020</v>
      </c>
      <c r="B411" t="s">
        <v>2021</v>
      </c>
      <c r="C411" t="s">
        <v>2022</v>
      </c>
      <c r="D411" t="s">
        <v>2590</v>
      </c>
    </row>
    <row r="412" spans="1:4" x14ac:dyDescent="0.25">
      <c r="A412" t="s">
        <v>2023</v>
      </c>
      <c r="B412" t="s">
        <v>2024</v>
      </c>
      <c r="C412" t="s">
        <v>2025</v>
      </c>
      <c r="D412" t="s">
        <v>2591</v>
      </c>
    </row>
    <row r="413" spans="1:4" x14ac:dyDescent="0.25">
      <c r="A413" t="s">
        <v>2026</v>
      </c>
      <c r="B413" t="s">
        <v>2027</v>
      </c>
      <c r="C413" t="s">
        <v>1725</v>
      </c>
      <c r="D413" t="s">
        <v>2592</v>
      </c>
    </row>
    <row r="414" spans="1:4" x14ac:dyDescent="0.25">
      <c r="A414" t="s">
        <v>2028</v>
      </c>
      <c r="B414" t="s">
        <v>1100</v>
      </c>
      <c r="C414" t="s">
        <v>2029</v>
      </c>
      <c r="D414" t="s">
        <v>2593</v>
      </c>
    </row>
    <row r="415" spans="1:4" x14ac:dyDescent="0.25">
      <c r="A415" t="s">
        <v>2030</v>
      </c>
      <c r="B415" t="s">
        <v>2031</v>
      </c>
      <c r="C415" t="s">
        <v>2032</v>
      </c>
      <c r="D415" t="s">
        <v>2594</v>
      </c>
    </row>
    <row r="416" spans="1:4" x14ac:dyDescent="0.25">
      <c r="A416" t="s">
        <v>2033</v>
      </c>
      <c r="B416" t="s">
        <v>2034</v>
      </c>
      <c r="C416" t="s">
        <v>2035</v>
      </c>
      <c r="D416" t="s">
        <v>2595</v>
      </c>
    </row>
    <row r="417" spans="1:4" x14ac:dyDescent="0.25">
      <c r="A417" t="s">
        <v>2036</v>
      </c>
      <c r="B417" t="s">
        <v>2037</v>
      </c>
      <c r="C417" t="s">
        <v>2038</v>
      </c>
      <c r="D417" t="s">
        <v>2596</v>
      </c>
    </row>
    <row r="418" spans="1:4" x14ac:dyDescent="0.25">
      <c r="A418" t="s">
        <v>2039</v>
      </c>
      <c r="B418" t="s">
        <v>2040</v>
      </c>
      <c r="C418" t="s">
        <v>2041</v>
      </c>
      <c r="D418" t="s">
        <v>2597</v>
      </c>
    </row>
    <row r="419" spans="1:4" x14ac:dyDescent="0.25">
      <c r="A419" t="s">
        <v>2042</v>
      </c>
      <c r="B419" t="s">
        <v>2043</v>
      </c>
      <c r="C419" t="s">
        <v>2044</v>
      </c>
      <c r="D419" t="s">
        <v>2598</v>
      </c>
    </row>
    <row r="420" spans="1:4" x14ac:dyDescent="0.25">
      <c r="A420" t="s">
        <v>2045</v>
      </c>
      <c r="B420" t="s">
        <v>2046</v>
      </c>
      <c r="C420" t="s">
        <v>2047</v>
      </c>
      <c r="D420" t="s">
        <v>2599</v>
      </c>
    </row>
    <row r="421" spans="1:4" x14ac:dyDescent="0.25">
      <c r="A421" t="s">
        <v>2048</v>
      </c>
      <c r="B421" t="s">
        <v>2049</v>
      </c>
      <c r="C421" t="s">
        <v>2050</v>
      </c>
      <c r="D421" t="s">
        <v>2600</v>
      </c>
    </row>
    <row r="422" spans="1:4" x14ac:dyDescent="0.25">
      <c r="A422" t="s">
        <v>2051</v>
      </c>
      <c r="B422" t="s">
        <v>2052</v>
      </c>
      <c r="C422" t="s">
        <v>2053</v>
      </c>
      <c r="D422" t="s">
        <v>2601</v>
      </c>
    </row>
    <row r="423" spans="1:4" x14ac:dyDescent="0.25">
      <c r="A423" t="s">
        <v>2054</v>
      </c>
      <c r="B423" t="s">
        <v>2055</v>
      </c>
      <c r="C423" t="s">
        <v>2056</v>
      </c>
      <c r="D423" t="s">
        <v>2602</v>
      </c>
    </row>
    <row r="424" spans="1:4" x14ac:dyDescent="0.25">
      <c r="A424" t="s">
        <v>2057</v>
      </c>
      <c r="B424" t="s">
        <v>2058</v>
      </c>
      <c r="C424" t="s">
        <v>2059</v>
      </c>
      <c r="D424" t="s">
        <v>2603</v>
      </c>
    </row>
    <row r="425" spans="1:4" x14ac:dyDescent="0.25">
      <c r="A425" t="s">
        <v>2060</v>
      </c>
      <c r="B425" t="s">
        <v>2061</v>
      </c>
      <c r="C425" t="s">
        <v>2062</v>
      </c>
      <c r="D425" t="s">
        <v>2604</v>
      </c>
    </row>
    <row r="426" spans="1:4" x14ac:dyDescent="0.25">
      <c r="A426" t="s">
        <v>2063</v>
      </c>
      <c r="B426" t="s">
        <v>2064</v>
      </c>
      <c r="C426" t="s">
        <v>2065</v>
      </c>
      <c r="D426" t="s">
        <v>2605</v>
      </c>
    </row>
    <row r="427" spans="1:4" x14ac:dyDescent="0.25">
      <c r="A427" t="s">
        <v>2066</v>
      </c>
      <c r="B427" t="s">
        <v>2067</v>
      </c>
      <c r="C427" t="s">
        <v>2068</v>
      </c>
      <c r="D427" t="s">
        <v>2606</v>
      </c>
    </row>
    <row r="428" spans="1:4" x14ac:dyDescent="0.25">
      <c r="A428" t="s">
        <v>2069</v>
      </c>
      <c r="B428" t="s">
        <v>2070</v>
      </c>
      <c r="C428" t="s">
        <v>2071</v>
      </c>
      <c r="D428" t="s">
        <v>2607</v>
      </c>
    </row>
    <row r="429" spans="1:4" x14ac:dyDescent="0.25">
      <c r="A429" t="s">
        <v>2072</v>
      </c>
      <c r="B429" t="s">
        <v>2073</v>
      </c>
      <c r="C429" t="s">
        <v>2074</v>
      </c>
      <c r="D429" t="s">
        <v>2608</v>
      </c>
    </row>
    <row r="430" spans="1:4" x14ac:dyDescent="0.25">
      <c r="A430" t="s">
        <v>2075</v>
      </c>
      <c r="B430" t="s">
        <v>2076</v>
      </c>
      <c r="C430" t="s">
        <v>2077</v>
      </c>
      <c r="D430" t="s">
        <v>2609</v>
      </c>
    </row>
    <row r="431" spans="1:4" x14ac:dyDescent="0.25">
      <c r="A431" t="s">
        <v>2078</v>
      </c>
      <c r="B431" t="s">
        <v>2079</v>
      </c>
      <c r="C431" t="s">
        <v>2080</v>
      </c>
      <c r="D431" t="s">
        <v>2610</v>
      </c>
    </row>
    <row r="432" spans="1:4" x14ac:dyDescent="0.25">
      <c r="A432" t="s">
        <v>2081</v>
      </c>
      <c r="B432" t="s">
        <v>2082</v>
      </c>
      <c r="C432" t="s">
        <v>2083</v>
      </c>
      <c r="D432" t="s">
        <v>2611</v>
      </c>
    </row>
    <row r="433" spans="1:4" x14ac:dyDescent="0.25">
      <c r="A433" t="s">
        <v>2084</v>
      </c>
      <c r="B433" t="s">
        <v>2085</v>
      </c>
      <c r="C433" t="s">
        <v>2086</v>
      </c>
      <c r="D433" t="s">
        <v>2612</v>
      </c>
    </row>
    <row r="434" spans="1:4" x14ac:dyDescent="0.25">
      <c r="A434" t="s">
        <v>2087</v>
      </c>
      <c r="B434" t="s">
        <v>2088</v>
      </c>
      <c r="C434" t="s">
        <v>2089</v>
      </c>
      <c r="D434" t="s">
        <v>2613</v>
      </c>
    </row>
    <row r="435" spans="1:4" x14ac:dyDescent="0.25">
      <c r="A435" t="s">
        <v>2090</v>
      </c>
      <c r="B435" t="s">
        <v>2091</v>
      </c>
      <c r="C435" t="s">
        <v>2092</v>
      </c>
      <c r="D435" t="s">
        <v>2614</v>
      </c>
    </row>
    <row r="436" spans="1:4" x14ac:dyDescent="0.25">
      <c r="A436" t="s">
        <v>2093</v>
      </c>
      <c r="B436" t="s">
        <v>2094</v>
      </c>
      <c r="C436" t="s">
        <v>2095</v>
      </c>
      <c r="D436" t="s">
        <v>2615</v>
      </c>
    </row>
    <row r="437" spans="1:4" x14ac:dyDescent="0.25">
      <c r="A437" t="s">
        <v>2096</v>
      </c>
      <c r="B437" t="s">
        <v>2097</v>
      </c>
      <c r="C437" t="s">
        <v>2098</v>
      </c>
      <c r="D437" t="s">
        <v>2616</v>
      </c>
    </row>
    <row r="438" spans="1:4" x14ac:dyDescent="0.25">
      <c r="A438" t="s">
        <v>2099</v>
      </c>
      <c r="B438" t="s">
        <v>2100</v>
      </c>
      <c r="C438" t="s">
        <v>2101</v>
      </c>
      <c r="D438" t="s">
        <v>2617</v>
      </c>
    </row>
    <row r="439" spans="1:4" x14ac:dyDescent="0.25">
      <c r="A439" t="s">
        <v>2102</v>
      </c>
      <c r="B439" t="s">
        <v>2103</v>
      </c>
      <c r="C439" t="s">
        <v>2104</v>
      </c>
      <c r="D439" t="s">
        <v>2618</v>
      </c>
    </row>
    <row r="440" spans="1:4" x14ac:dyDescent="0.25">
      <c r="A440" t="s">
        <v>2105</v>
      </c>
      <c r="B440" t="s">
        <v>2106</v>
      </c>
      <c r="C440" t="s">
        <v>2107</v>
      </c>
      <c r="D440" t="s">
        <v>2619</v>
      </c>
    </row>
    <row r="441" spans="1:4" x14ac:dyDescent="0.25">
      <c r="A441" t="s">
        <v>2108</v>
      </c>
      <c r="B441" t="s">
        <v>2109</v>
      </c>
      <c r="C441" t="s">
        <v>2110</v>
      </c>
      <c r="D441" t="s">
        <v>2620</v>
      </c>
    </row>
    <row r="442" spans="1:4" x14ac:dyDescent="0.25">
      <c r="A442" t="s">
        <v>2111</v>
      </c>
      <c r="B442" t="s">
        <v>2112</v>
      </c>
      <c r="C442" t="s">
        <v>2113</v>
      </c>
      <c r="D442" t="s">
        <v>2621</v>
      </c>
    </row>
    <row r="443" spans="1:4" x14ac:dyDescent="0.25">
      <c r="A443" t="s">
        <v>2114</v>
      </c>
      <c r="B443" t="s">
        <v>2115</v>
      </c>
      <c r="C443" t="s">
        <v>2116</v>
      </c>
      <c r="D443" t="s">
        <v>2622</v>
      </c>
    </row>
    <row r="444" spans="1:4" x14ac:dyDescent="0.25">
      <c r="A444" t="s">
        <v>2117</v>
      </c>
      <c r="B444" t="s">
        <v>2118</v>
      </c>
      <c r="C444" t="s">
        <v>2119</v>
      </c>
      <c r="D444" t="s">
        <v>2623</v>
      </c>
    </row>
    <row r="445" spans="1:4" x14ac:dyDescent="0.25">
      <c r="A445" t="s">
        <v>2120</v>
      </c>
      <c r="B445" t="s">
        <v>2121</v>
      </c>
      <c r="C445" t="s">
        <v>2122</v>
      </c>
      <c r="D445" t="s">
        <v>2624</v>
      </c>
    </row>
    <row r="446" spans="1:4" x14ac:dyDescent="0.25">
      <c r="A446" t="s">
        <v>2123</v>
      </c>
      <c r="B446" t="s">
        <v>2124</v>
      </c>
      <c r="C446" t="s">
        <v>1156</v>
      </c>
      <c r="D446" t="s">
        <v>2625</v>
      </c>
    </row>
    <row r="447" spans="1:4" x14ac:dyDescent="0.25">
      <c r="A447" t="s">
        <v>2125</v>
      </c>
      <c r="B447" t="s">
        <v>2126</v>
      </c>
      <c r="C447" t="s">
        <v>2127</v>
      </c>
      <c r="D447" t="s">
        <v>2626</v>
      </c>
    </row>
    <row r="448" spans="1:4" x14ac:dyDescent="0.25">
      <c r="A448" t="s">
        <v>2128</v>
      </c>
      <c r="B448" t="s">
        <v>2129</v>
      </c>
      <c r="C448" t="s">
        <v>2130</v>
      </c>
      <c r="D448" t="s">
        <v>2627</v>
      </c>
    </row>
    <row r="449" spans="1:4" x14ac:dyDescent="0.25">
      <c r="A449" t="s">
        <v>2131</v>
      </c>
      <c r="B449" t="s">
        <v>2132</v>
      </c>
      <c r="C449" t="s">
        <v>2133</v>
      </c>
      <c r="D449" t="s">
        <v>2628</v>
      </c>
    </row>
    <row r="450" spans="1:4" x14ac:dyDescent="0.25">
      <c r="A450" t="s">
        <v>2134</v>
      </c>
      <c r="B450" t="s">
        <v>2135</v>
      </c>
      <c r="C450" t="s">
        <v>2136</v>
      </c>
      <c r="D450" t="s">
        <v>2629</v>
      </c>
    </row>
    <row r="451" spans="1:4" x14ac:dyDescent="0.25">
      <c r="A451" t="s">
        <v>2137</v>
      </c>
      <c r="B451" t="s">
        <v>2138</v>
      </c>
      <c r="C451" t="s">
        <v>2139</v>
      </c>
      <c r="D451" t="s">
        <v>2630</v>
      </c>
    </row>
    <row r="452" spans="1:4" x14ac:dyDescent="0.25">
      <c r="A452" t="s">
        <v>2140</v>
      </c>
      <c r="B452" t="s">
        <v>2141</v>
      </c>
      <c r="C452" t="s">
        <v>2142</v>
      </c>
      <c r="D452" t="s">
        <v>2631</v>
      </c>
    </row>
    <row r="453" spans="1:4" x14ac:dyDescent="0.25">
      <c r="A453" t="s">
        <v>2143</v>
      </c>
      <c r="B453" t="s">
        <v>2144</v>
      </c>
      <c r="C453" t="s">
        <v>2145</v>
      </c>
      <c r="D453" t="s">
        <v>2632</v>
      </c>
    </row>
    <row r="454" spans="1:4" x14ac:dyDescent="0.25">
      <c r="A454" t="s">
        <v>2146</v>
      </c>
      <c r="B454" t="s">
        <v>2147</v>
      </c>
      <c r="C454" t="s">
        <v>2148</v>
      </c>
      <c r="D454" t="s">
        <v>2633</v>
      </c>
    </row>
    <row r="455" spans="1:4" x14ac:dyDescent="0.25">
      <c r="A455" t="s">
        <v>2149</v>
      </c>
      <c r="B455" t="s">
        <v>2150</v>
      </c>
      <c r="C455" t="s">
        <v>2151</v>
      </c>
      <c r="D455" t="s">
        <v>2634</v>
      </c>
    </row>
    <row r="456" spans="1:4" x14ac:dyDescent="0.25">
      <c r="A456" t="s">
        <v>2152</v>
      </c>
      <c r="B456" t="s">
        <v>2153</v>
      </c>
      <c r="C456" t="s">
        <v>2154</v>
      </c>
      <c r="D456" t="s">
        <v>2635</v>
      </c>
    </row>
    <row r="457" spans="1:4" x14ac:dyDescent="0.25">
      <c r="A457" t="s">
        <v>2155</v>
      </c>
      <c r="B457" t="s">
        <v>2156</v>
      </c>
      <c r="C457" t="s">
        <v>2157</v>
      </c>
      <c r="D457" t="s">
        <v>2636</v>
      </c>
    </row>
    <row r="458" spans="1:4" x14ac:dyDescent="0.25">
      <c r="A458" t="s">
        <v>2158</v>
      </c>
      <c r="B458" t="s">
        <v>2159</v>
      </c>
      <c r="C458" t="s">
        <v>2160</v>
      </c>
      <c r="D458" t="s">
        <v>2637</v>
      </c>
    </row>
    <row r="459" spans="1:4" x14ac:dyDescent="0.25">
      <c r="A459" t="s">
        <v>2161</v>
      </c>
      <c r="B459" t="s">
        <v>2162</v>
      </c>
      <c r="C459" t="s">
        <v>2163</v>
      </c>
      <c r="D459" t="s">
        <v>2638</v>
      </c>
    </row>
    <row r="460" spans="1:4" x14ac:dyDescent="0.25">
      <c r="A460" t="s">
        <v>2164</v>
      </c>
      <c r="B460" t="s">
        <v>2165</v>
      </c>
      <c r="C460" t="s">
        <v>2166</v>
      </c>
      <c r="D460" t="s">
        <v>2639</v>
      </c>
    </row>
    <row r="461" spans="1:4" x14ac:dyDescent="0.25">
      <c r="A461" t="s">
        <v>2167</v>
      </c>
      <c r="B461" t="s">
        <v>2168</v>
      </c>
      <c r="C461" t="s">
        <v>2169</v>
      </c>
      <c r="D461" t="s">
        <v>2640</v>
      </c>
    </row>
    <row r="462" spans="1:4" x14ac:dyDescent="0.25">
      <c r="A462" t="s">
        <v>2170</v>
      </c>
      <c r="B462" t="s">
        <v>2171</v>
      </c>
      <c r="C462" t="s">
        <v>2172</v>
      </c>
      <c r="D462" t="s">
        <v>2641</v>
      </c>
    </row>
    <row r="463" spans="1:4" x14ac:dyDescent="0.25">
      <c r="A463" t="s">
        <v>2173</v>
      </c>
      <c r="B463" t="s">
        <v>2174</v>
      </c>
      <c r="C463" t="s">
        <v>2175</v>
      </c>
      <c r="D463" t="s">
        <v>2642</v>
      </c>
    </row>
    <row r="464" spans="1:4" x14ac:dyDescent="0.25">
      <c r="A464" t="s">
        <v>2176</v>
      </c>
      <c r="B464" t="s">
        <v>2177</v>
      </c>
      <c r="C464" t="s">
        <v>2178</v>
      </c>
      <c r="D464" t="s">
        <v>2643</v>
      </c>
    </row>
    <row r="465" spans="1:4" x14ac:dyDescent="0.25">
      <c r="A465" t="s">
        <v>2179</v>
      </c>
      <c r="B465" t="s">
        <v>2180</v>
      </c>
      <c r="C465" t="s">
        <v>2181</v>
      </c>
      <c r="D465" t="s">
        <v>2644</v>
      </c>
    </row>
    <row r="466" spans="1:4" x14ac:dyDescent="0.25">
      <c r="A466" t="s">
        <v>2182</v>
      </c>
      <c r="B466" t="s">
        <v>2183</v>
      </c>
      <c r="C466" t="s">
        <v>2184</v>
      </c>
      <c r="D466" t="s">
        <v>2645</v>
      </c>
    </row>
    <row r="467" spans="1:4" x14ac:dyDescent="0.25">
      <c r="A467" t="s">
        <v>2185</v>
      </c>
      <c r="B467" t="s">
        <v>2186</v>
      </c>
      <c r="C467" t="s">
        <v>2187</v>
      </c>
      <c r="D467" t="s">
        <v>2646</v>
      </c>
    </row>
    <row r="468" spans="1:4" x14ac:dyDescent="0.25">
      <c r="A468" t="s">
        <v>2188</v>
      </c>
      <c r="B468" t="s">
        <v>2189</v>
      </c>
      <c r="C468" t="s">
        <v>2190</v>
      </c>
      <c r="D468" t="s">
        <v>2647</v>
      </c>
    </row>
    <row r="469" spans="1:4" x14ac:dyDescent="0.25">
      <c r="A469" t="s">
        <v>2191</v>
      </c>
      <c r="B469" t="s">
        <v>2192</v>
      </c>
      <c r="C469" t="s">
        <v>2193</v>
      </c>
      <c r="D469" t="s">
        <v>2648</v>
      </c>
    </row>
    <row r="470" spans="1:4" x14ac:dyDescent="0.25">
      <c r="A470" t="s">
        <v>2194</v>
      </c>
      <c r="B470" t="s">
        <v>2195</v>
      </c>
      <c r="C470" t="s">
        <v>2196</v>
      </c>
      <c r="D470" t="s">
        <v>2649</v>
      </c>
    </row>
    <row r="471" spans="1:4" x14ac:dyDescent="0.25">
      <c r="A471" t="s">
        <v>2197</v>
      </c>
      <c r="B471" t="s">
        <v>2198</v>
      </c>
      <c r="C471" t="s">
        <v>2199</v>
      </c>
      <c r="D471" t="s">
        <v>2650</v>
      </c>
    </row>
    <row r="472" spans="1:4" x14ac:dyDescent="0.25">
      <c r="A472" t="s">
        <v>2200</v>
      </c>
      <c r="B472" t="s">
        <v>2201</v>
      </c>
      <c r="C472" t="s">
        <v>2202</v>
      </c>
      <c r="D472" t="s">
        <v>2651</v>
      </c>
    </row>
    <row r="473" spans="1:4" x14ac:dyDescent="0.25">
      <c r="A473" t="s">
        <v>2203</v>
      </c>
      <c r="B473" t="s">
        <v>2204</v>
      </c>
      <c r="C473" t="s">
        <v>2205</v>
      </c>
      <c r="D473" t="s">
        <v>2652</v>
      </c>
    </row>
    <row r="474" spans="1:4" x14ac:dyDescent="0.25">
      <c r="A474" t="s">
        <v>2206</v>
      </c>
      <c r="B474" t="s">
        <v>2207</v>
      </c>
      <c r="C474" t="s">
        <v>2208</v>
      </c>
      <c r="D474" t="s">
        <v>2653</v>
      </c>
    </row>
    <row r="475" spans="1:4" x14ac:dyDescent="0.25">
      <c r="A475" t="s">
        <v>2209</v>
      </c>
      <c r="B475" t="s">
        <v>2210</v>
      </c>
      <c r="C475" t="s">
        <v>2211</v>
      </c>
      <c r="D475" t="s">
        <v>2654</v>
      </c>
    </row>
    <row r="476" spans="1:4" x14ac:dyDescent="0.25">
      <c r="A476" t="s">
        <v>2212</v>
      </c>
      <c r="B476" t="s">
        <v>2213</v>
      </c>
      <c r="C476" t="s">
        <v>2214</v>
      </c>
      <c r="D476" t="s">
        <v>2655</v>
      </c>
    </row>
    <row r="477" spans="1:4" x14ac:dyDescent="0.25">
      <c r="A477" t="s">
        <v>2215</v>
      </c>
      <c r="B477" t="s">
        <v>2216</v>
      </c>
      <c r="C477" t="s">
        <v>2217</v>
      </c>
      <c r="D477" t="s">
        <v>2656</v>
      </c>
    </row>
    <row r="478" spans="1:4" x14ac:dyDescent="0.25">
      <c r="A478" t="s">
        <v>2218</v>
      </c>
      <c r="B478" t="s">
        <v>2219</v>
      </c>
      <c r="C478" t="s">
        <v>2220</v>
      </c>
      <c r="D478" t="s">
        <v>2657</v>
      </c>
    </row>
    <row r="479" spans="1:4" x14ac:dyDescent="0.25">
      <c r="A479" t="s">
        <v>2221</v>
      </c>
      <c r="B479" t="s">
        <v>2222</v>
      </c>
      <c r="C479" t="s">
        <v>2223</v>
      </c>
      <c r="D479" t="s">
        <v>2658</v>
      </c>
    </row>
    <row r="480" spans="1:4" x14ac:dyDescent="0.25">
      <c r="A480" t="s">
        <v>2224</v>
      </c>
      <c r="B480" t="s">
        <v>2225</v>
      </c>
      <c r="C480" t="s">
        <v>2226</v>
      </c>
      <c r="D480" t="s">
        <v>2659</v>
      </c>
    </row>
    <row r="481" spans="1:4" x14ac:dyDescent="0.25">
      <c r="A481" t="s">
        <v>2227</v>
      </c>
      <c r="B481" t="s">
        <v>2228</v>
      </c>
      <c r="C481" t="s">
        <v>2229</v>
      </c>
      <c r="D481" t="s">
        <v>2660</v>
      </c>
    </row>
    <row r="482" spans="1:4" x14ac:dyDescent="0.25">
      <c r="A482" t="s">
        <v>2230</v>
      </c>
      <c r="B482" t="s">
        <v>2231</v>
      </c>
      <c r="C482" t="s">
        <v>2232</v>
      </c>
      <c r="D482" t="s">
        <v>2661</v>
      </c>
    </row>
    <row r="483" spans="1:4" x14ac:dyDescent="0.25">
      <c r="A483" t="s">
        <v>2233</v>
      </c>
      <c r="B483" t="s">
        <v>2234</v>
      </c>
      <c r="C483" t="s">
        <v>2235</v>
      </c>
      <c r="D483" t="s">
        <v>2662</v>
      </c>
    </row>
    <row r="484" spans="1:4" x14ac:dyDescent="0.25">
      <c r="A484" t="s">
        <v>2236</v>
      </c>
      <c r="B484" t="s">
        <v>2237</v>
      </c>
      <c r="C484" t="s">
        <v>2238</v>
      </c>
      <c r="D484" t="s">
        <v>2663</v>
      </c>
    </row>
    <row r="485" spans="1:4" x14ac:dyDescent="0.25">
      <c r="A485" t="s">
        <v>2239</v>
      </c>
      <c r="B485" t="s">
        <v>2240</v>
      </c>
      <c r="C485" t="s">
        <v>2241</v>
      </c>
      <c r="D485" t="s">
        <v>2664</v>
      </c>
    </row>
    <row r="486" spans="1:4" x14ac:dyDescent="0.25">
      <c r="A486" t="s">
        <v>2242</v>
      </c>
      <c r="B486" t="s">
        <v>2243</v>
      </c>
      <c r="C486" t="s">
        <v>2244</v>
      </c>
      <c r="D486" t="s">
        <v>2665</v>
      </c>
    </row>
    <row r="487" spans="1:4" x14ac:dyDescent="0.25">
      <c r="A487" t="s">
        <v>2245</v>
      </c>
      <c r="B487" t="s">
        <v>2246</v>
      </c>
      <c r="C487" t="s">
        <v>2247</v>
      </c>
      <c r="D487" t="s">
        <v>2666</v>
      </c>
    </row>
    <row r="488" spans="1:4" x14ac:dyDescent="0.25">
      <c r="A488" t="s">
        <v>2248</v>
      </c>
      <c r="B488" t="s">
        <v>2249</v>
      </c>
      <c r="C488" t="s">
        <v>2250</v>
      </c>
      <c r="D488" t="s">
        <v>2667</v>
      </c>
    </row>
    <row r="489" spans="1:4" x14ac:dyDescent="0.25">
      <c r="A489" t="s">
        <v>2251</v>
      </c>
      <c r="B489" t="s">
        <v>2252</v>
      </c>
      <c r="C489" t="s">
        <v>2253</v>
      </c>
      <c r="D489" t="s">
        <v>2668</v>
      </c>
    </row>
    <row r="490" spans="1:4" x14ac:dyDescent="0.25">
      <c r="A490" t="s">
        <v>2254</v>
      </c>
      <c r="B490" t="s">
        <v>2255</v>
      </c>
      <c r="C490" t="s">
        <v>2256</v>
      </c>
      <c r="D490" t="s">
        <v>2669</v>
      </c>
    </row>
    <row r="491" spans="1:4" x14ac:dyDescent="0.25">
      <c r="A491" t="s">
        <v>2257</v>
      </c>
      <c r="B491" t="s">
        <v>2258</v>
      </c>
      <c r="C491" t="s">
        <v>2259</v>
      </c>
      <c r="D491" t="s">
        <v>2670</v>
      </c>
    </row>
    <row r="492" spans="1:4" x14ac:dyDescent="0.25">
      <c r="A492" t="s">
        <v>2260</v>
      </c>
      <c r="B492" t="s">
        <v>2261</v>
      </c>
      <c r="C492" t="s">
        <v>2262</v>
      </c>
      <c r="D492" t="s">
        <v>2671</v>
      </c>
    </row>
    <row r="493" spans="1:4" x14ac:dyDescent="0.25">
      <c r="A493" t="s">
        <v>2263</v>
      </c>
      <c r="B493" t="s">
        <v>2264</v>
      </c>
      <c r="C493" t="s">
        <v>2265</v>
      </c>
      <c r="D493" t="s">
        <v>2672</v>
      </c>
    </row>
    <row r="494" spans="1:4" x14ac:dyDescent="0.25">
      <c r="A494" t="s">
        <v>2266</v>
      </c>
      <c r="B494" t="s">
        <v>2267</v>
      </c>
      <c r="C494" t="s">
        <v>2268</v>
      </c>
      <c r="D494" t="s">
        <v>2673</v>
      </c>
    </row>
    <row r="495" spans="1:4" x14ac:dyDescent="0.25">
      <c r="A495" t="s">
        <v>2269</v>
      </c>
      <c r="B495" t="s">
        <v>2270</v>
      </c>
      <c r="C495" t="s">
        <v>2271</v>
      </c>
      <c r="D495" t="s">
        <v>2674</v>
      </c>
    </row>
    <row r="496" spans="1:4" x14ac:dyDescent="0.25">
      <c r="A496" t="s">
        <v>2272</v>
      </c>
      <c r="B496" t="s">
        <v>2273</v>
      </c>
      <c r="C496" t="s">
        <v>2274</v>
      </c>
      <c r="D496" t="s">
        <v>2675</v>
      </c>
    </row>
    <row r="497" spans="1:4" x14ac:dyDescent="0.25">
      <c r="A497" t="s">
        <v>2275</v>
      </c>
      <c r="B497" t="s">
        <v>2276</v>
      </c>
      <c r="C497" t="s">
        <v>2277</v>
      </c>
      <c r="D497" t="s">
        <v>2676</v>
      </c>
    </row>
    <row r="498" spans="1:4" x14ac:dyDescent="0.25">
      <c r="A498" t="s">
        <v>2278</v>
      </c>
      <c r="B498" t="s">
        <v>2279</v>
      </c>
      <c r="C498" t="s">
        <v>2280</v>
      </c>
      <c r="D498" t="s">
        <v>2677</v>
      </c>
    </row>
    <row r="499" spans="1:4" x14ac:dyDescent="0.25">
      <c r="A499" t="s">
        <v>2281</v>
      </c>
      <c r="B499" t="s">
        <v>2282</v>
      </c>
      <c r="C499" t="s">
        <v>2283</v>
      </c>
      <c r="D499" t="s">
        <v>2678</v>
      </c>
    </row>
    <row r="500" spans="1:4" x14ac:dyDescent="0.25">
      <c r="A500" t="s">
        <v>2284</v>
      </c>
      <c r="B500" t="s">
        <v>2285</v>
      </c>
      <c r="C500" t="s">
        <v>2286</v>
      </c>
      <c r="D500" t="s">
        <v>2679</v>
      </c>
    </row>
    <row r="501" spans="1:4" x14ac:dyDescent="0.25">
      <c r="A501" t="s">
        <v>2287</v>
      </c>
      <c r="B501" t="s">
        <v>2288</v>
      </c>
      <c r="C501" t="s">
        <v>2289</v>
      </c>
      <c r="D501" t="s">
        <v>2680</v>
      </c>
    </row>
    <row r="502" spans="1:4" x14ac:dyDescent="0.25">
      <c r="A502" t="s">
        <v>2290</v>
      </c>
      <c r="B502" t="s">
        <v>2291</v>
      </c>
      <c r="C502" t="s">
        <v>2292</v>
      </c>
      <c r="D502" t="s">
        <v>2681</v>
      </c>
    </row>
    <row r="503" spans="1:4" x14ac:dyDescent="0.25">
      <c r="A503" t="s">
        <v>2293</v>
      </c>
      <c r="B503" t="s">
        <v>2294</v>
      </c>
      <c r="C503" t="s">
        <v>2295</v>
      </c>
      <c r="D503" t="s">
        <v>2682</v>
      </c>
    </row>
    <row r="504" spans="1:4" x14ac:dyDescent="0.25">
      <c r="A504" t="s">
        <v>2296</v>
      </c>
      <c r="B504" t="s">
        <v>2297</v>
      </c>
      <c r="C504" t="s">
        <v>2298</v>
      </c>
      <c r="D504" t="s">
        <v>2683</v>
      </c>
    </row>
    <row r="505" spans="1:4" x14ac:dyDescent="0.25">
      <c r="A505" t="s">
        <v>2299</v>
      </c>
      <c r="B505" t="s">
        <v>2300</v>
      </c>
      <c r="C505" t="s">
        <v>2301</v>
      </c>
      <c r="D505" t="s">
        <v>2684</v>
      </c>
    </row>
    <row r="506" spans="1:4" x14ac:dyDescent="0.25">
      <c r="A506" t="s">
        <v>2302</v>
      </c>
      <c r="B506" t="s">
        <v>2303</v>
      </c>
      <c r="C506" t="s">
        <v>2304</v>
      </c>
      <c r="D506" t="s">
        <v>2685</v>
      </c>
    </row>
    <row r="507" spans="1:4" x14ac:dyDescent="0.25">
      <c r="A507" t="s">
        <v>2305</v>
      </c>
      <c r="B507" t="s">
        <v>2306</v>
      </c>
      <c r="C507" t="s">
        <v>2307</v>
      </c>
      <c r="D507" t="s">
        <v>2686</v>
      </c>
    </row>
    <row r="508" spans="1:4" x14ac:dyDescent="0.25">
      <c r="A508" t="s">
        <v>2308</v>
      </c>
      <c r="B508" t="s">
        <v>2309</v>
      </c>
      <c r="C508" t="s">
        <v>2310</v>
      </c>
      <c r="D508" t="s">
        <v>2687</v>
      </c>
    </row>
    <row r="509" spans="1:4" x14ac:dyDescent="0.25">
      <c r="A509" t="s">
        <v>2311</v>
      </c>
      <c r="B509" t="s">
        <v>2312</v>
      </c>
      <c r="C509" t="s">
        <v>2313</v>
      </c>
      <c r="D509" t="s">
        <v>2688</v>
      </c>
    </row>
    <row r="510" spans="1:4" x14ac:dyDescent="0.25">
      <c r="A510" t="s">
        <v>2314</v>
      </c>
      <c r="B510" t="s">
        <v>2315</v>
      </c>
      <c r="C510" t="s">
        <v>2316</v>
      </c>
      <c r="D510" t="s">
        <v>2689</v>
      </c>
    </row>
    <row r="511" spans="1:4" x14ac:dyDescent="0.25">
      <c r="A511" t="s">
        <v>2317</v>
      </c>
      <c r="B511" t="s">
        <v>2318</v>
      </c>
      <c r="C511" t="s">
        <v>2319</v>
      </c>
      <c r="D511" t="s">
        <v>2690</v>
      </c>
    </row>
    <row r="512" spans="1:4" x14ac:dyDescent="0.25">
      <c r="A512" t="s">
        <v>2320</v>
      </c>
      <c r="B512" t="s">
        <v>2321</v>
      </c>
      <c r="C512" t="s">
        <v>2322</v>
      </c>
      <c r="D512" t="s">
        <v>2691</v>
      </c>
    </row>
    <row r="513" spans="1:4" x14ac:dyDescent="0.25">
      <c r="A513" t="s">
        <v>2323</v>
      </c>
      <c r="B513" t="s">
        <v>2324</v>
      </c>
      <c r="C513" t="s">
        <v>2325</v>
      </c>
      <c r="D513" t="s">
        <v>2692</v>
      </c>
    </row>
    <row r="514" spans="1:4" x14ac:dyDescent="0.25">
      <c r="A514" t="s">
        <v>2326</v>
      </c>
      <c r="B514" t="s">
        <v>2327</v>
      </c>
      <c r="C514" t="s">
        <v>2328</v>
      </c>
      <c r="D514" t="s">
        <v>2693</v>
      </c>
    </row>
    <row r="515" spans="1:4" x14ac:dyDescent="0.25">
      <c r="A515" t="s">
        <v>2329</v>
      </c>
      <c r="B515" t="s">
        <v>2330</v>
      </c>
      <c r="C515" t="s">
        <v>2331</v>
      </c>
      <c r="D515" t="s">
        <v>2694</v>
      </c>
    </row>
    <row r="516" spans="1:4" x14ac:dyDescent="0.25">
      <c r="A516" t="s">
        <v>2332</v>
      </c>
      <c r="B516" t="s">
        <v>2333</v>
      </c>
      <c r="C516" t="s">
        <v>2334</v>
      </c>
      <c r="D516" t="s">
        <v>2695</v>
      </c>
    </row>
    <row r="517" spans="1:4" x14ac:dyDescent="0.25">
      <c r="A517" t="s">
        <v>2335</v>
      </c>
      <c r="B517" t="s">
        <v>2336</v>
      </c>
      <c r="C517" t="s">
        <v>2337</v>
      </c>
      <c r="D517" t="s">
        <v>2696</v>
      </c>
    </row>
    <row r="518" spans="1:4" x14ac:dyDescent="0.25">
      <c r="A518" t="s">
        <v>2338</v>
      </c>
      <c r="B518" t="s">
        <v>2339</v>
      </c>
      <c r="C518" t="s">
        <v>2340</v>
      </c>
      <c r="D518" t="s">
        <v>2697</v>
      </c>
    </row>
    <row r="519" spans="1:4" x14ac:dyDescent="0.25">
      <c r="A519" t="s">
        <v>2341</v>
      </c>
      <c r="B519" t="s">
        <v>2342</v>
      </c>
      <c r="C519" t="s">
        <v>2343</v>
      </c>
      <c r="D519" t="s">
        <v>2698</v>
      </c>
    </row>
    <row r="520" spans="1:4" x14ac:dyDescent="0.25">
      <c r="A520" t="s">
        <v>2344</v>
      </c>
      <c r="B520" t="s">
        <v>2345</v>
      </c>
      <c r="C520" t="s">
        <v>2346</v>
      </c>
      <c r="D520" t="s">
        <v>2699</v>
      </c>
    </row>
    <row r="521" spans="1:4" x14ac:dyDescent="0.25">
      <c r="A521" t="s">
        <v>2347</v>
      </c>
      <c r="B521" t="s">
        <v>2348</v>
      </c>
      <c r="C521" t="s">
        <v>2349</v>
      </c>
      <c r="D521" t="s">
        <v>2700</v>
      </c>
    </row>
    <row r="522" spans="1:4" x14ac:dyDescent="0.25">
      <c r="A522" t="s">
        <v>2350</v>
      </c>
      <c r="B522" t="s">
        <v>2351</v>
      </c>
      <c r="C522" t="s">
        <v>2352</v>
      </c>
      <c r="D522" t="s">
        <v>2701</v>
      </c>
    </row>
    <row r="523" spans="1:4" x14ac:dyDescent="0.25">
      <c r="A523" t="s">
        <v>2353</v>
      </c>
      <c r="B523" t="s">
        <v>2354</v>
      </c>
      <c r="C523" t="s">
        <v>2355</v>
      </c>
      <c r="D523" t="s">
        <v>2702</v>
      </c>
    </row>
    <row r="524" spans="1:4" x14ac:dyDescent="0.25">
      <c r="A524" t="s">
        <v>2356</v>
      </c>
      <c r="B524" t="s">
        <v>2357</v>
      </c>
      <c r="C524" t="s">
        <v>2358</v>
      </c>
      <c r="D524" t="s">
        <v>786</v>
      </c>
    </row>
    <row r="525" spans="1:4" x14ac:dyDescent="0.25">
      <c r="A525" t="s">
        <v>2359</v>
      </c>
      <c r="B525" t="s">
        <v>2360</v>
      </c>
      <c r="C525" t="s">
        <v>2361</v>
      </c>
      <c r="D525" t="s">
        <v>2703</v>
      </c>
    </row>
    <row r="526" spans="1:4" x14ac:dyDescent="0.25">
      <c r="A526" t="s">
        <v>2362</v>
      </c>
      <c r="B526" t="s">
        <v>2363</v>
      </c>
      <c r="C526" t="s">
        <v>1183</v>
      </c>
      <c r="D526" t="s">
        <v>2704</v>
      </c>
    </row>
    <row r="527" spans="1:4" x14ac:dyDescent="0.25">
      <c r="A527" t="s">
        <v>2364</v>
      </c>
      <c r="B527" t="s">
        <v>2365</v>
      </c>
      <c r="C527" t="s">
        <v>2366</v>
      </c>
      <c r="D527" t="s">
        <v>2705</v>
      </c>
    </row>
    <row r="528" spans="1:4" x14ac:dyDescent="0.25">
      <c r="A528" t="s">
        <v>2367</v>
      </c>
      <c r="B528" t="s">
        <v>2368</v>
      </c>
      <c r="C528" t="s">
        <v>2369</v>
      </c>
      <c r="D528" t="s">
        <v>2706</v>
      </c>
    </row>
    <row r="529" spans="1:4" x14ac:dyDescent="0.25">
      <c r="A529" t="s">
        <v>2370</v>
      </c>
      <c r="B529" t="s">
        <v>2371</v>
      </c>
      <c r="C529" t="s">
        <v>2372</v>
      </c>
      <c r="D529" t="s">
        <v>2707</v>
      </c>
    </row>
    <row r="530" spans="1:4" x14ac:dyDescent="0.25">
      <c r="A530" t="s">
        <v>2373</v>
      </c>
      <c r="B530" t="s">
        <v>2374</v>
      </c>
      <c r="C530" t="s">
        <v>2375</v>
      </c>
      <c r="D530" t="s">
        <v>2708</v>
      </c>
    </row>
    <row r="531" spans="1:4" x14ac:dyDescent="0.25">
      <c r="A531" t="s">
        <v>2376</v>
      </c>
      <c r="B531" t="s">
        <v>2377</v>
      </c>
      <c r="C531" t="s">
        <v>2378</v>
      </c>
      <c r="D531" t="s">
        <v>2709</v>
      </c>
    </row>
    <row r="532" spans="1:4" x14ac:dyDescent="0.25">
      <c r="A532" t="s">
        <v>2379</v>
      </c>
      <c r="B532" t="s">
        <v>2380</v>
      </c>
      <c r="C532" t="s">
        <v>2381</v>
      </c>
      <c r="D532" t="s">
        <v>2710</v>
      </c>
    </row>
    <row r="533" spans="1:4" x14ac:dyDescent="0.25">
      <c r="A533" t="s">
        <v>2382</v>
      </c>
      <c r="B533" t="s">
        <v>2383</v>
      </c>
      <c r="C533" t="s">
        <v>2384</v>
      </c>
      <c r="D533" t="s">
        <v>2711</v>
      </c>
    </row>
    <row r="534" spans="1:4" x14ac:dyDescent="0.25">
      <c r="A534" t="s">
        <v>2385</v>
      </c>
      <c r="B534" t="s">
        <v>2386</v>
      </c>
      <c r="C534" t="s">
        <v>2387</v>
      </c>
      <c r="D534" t="s">
        <v>2712</v>
      </c>
    </row>
    <row r="535" spans="1:4" x14ac:dyDescent="0.25">
      <c r="A535" t="s">
        <v>2388</v>
      </c>
      <c r="B535" t="s">
        <v>2389</v>
      </c>
      <c r="C535" t="s">
        <v>2390</v>
      </c>
      <c r="D535" t="s">
        <v>2713</v>
      </c>
    </row>
    <row r="536" spans="1:4" x14ac:dyDescent="0.25">
      <c r="A536" t="s">
        <v>2391</v>
      </c>
      <c r="B536" t="s">
        <v>2392</v>
      </c>
      <c r="C536" t="s">
        <v>2393</v>
      </c>
      <c r="D536" t="s">
        <v>2714</v>
      </c>
    </row>
    <row r="537" spans="1:4" x14ac:dyDescent="0.25">
      <c r="A537" t="s">
        <v>2394</v>
      </c>
      <c r="B537" t="s">
        <v>2395</v>
      </c>
      <c r="C537" t="s">
        <v>2396</v>
      </c>
      <c r="D537" t="s">
        <v>2715</v>
      </c>
    </row>
    <row r="538" spans="1:4" x14ac:dyDescent="0.25">
      <c r="A538" t="s">
        <v>2397</v>
      </c>
      <c r="B538" t="s">
        <v>2398</v>
      </c>
      <c r="C538" t="s">
        <v>2399</v>
      </c>
      <c r="D538" t="s">
        <v>2716</v>
      </c>
    </row>
    <row r="539" spans="1:4" x14ac:dyDescent="0.25">
      <c r="A539" t="s">
        <v>2400</v>
      </c>
      <c r="B539" t="s">
        <v>2401</v>
      </c>
      <c r="C539" t="s">
        <v>2402</v>
      </c>
      <c r="D539" t="s">
        <v>2717</v>
      </c>
    </row>
    <row r="540" spans="1:4" x14ac:dyDescent="0.25">
      <c r="A540" t="s">
        <v>2403</v>
      </c>
      <c r="B540" t="s">
        <v>2404</v>
      </c>
      <c r="C540" t="s">
        <v>2405</v>
      </c>
      <c r="D540" t="s">
        <v>2718</v>
      </c>
    </row>
    <row r="541" spans="1:4" x14ac:dyDescent="0.25">
      <c r="A541" t="s">
        <v>2406</v>
      </c>
      <c r="B541" t="s">
        <v>2407</v>
      </c>
      <c r="C541" t="s">
        <v>2408</v>
      </c>
      <c r="D541" t="s">
        <v>2719</v>
      </c>
    </row>
    <row r="542" spans="1:4" x14ac:dyDescent="0.25">
      <c r="A542" t="s">
        <v>2409</v>
      </c>
      <c r="B542" t="s">
        <v>2410</v>
      </c>
      <c r="C542" t="s">
        <v>2411</v>
      </c>
      <c r="D542" t="s">
        <v>2720</v>
      </c>
    </row>
    <row r="543" spans="1:4" x14ac:dyDescent="0.25">
      <c r="A543" t="s">
        <v>2412</v>
      </c>
      <c r="B543" t="s">
        <v>2413</v>
      </c>
      <c r="C543" t="s">
        <v>2414</v>
      </c>
      <c r="D543" t="s">
        <v>2721</v>
      </c>
    </row>
    <row r="544" spans="1:4" x14ac:dyDescent="0.25">
      <c r="A544" t="s">
        <v>2415</v>
      </c>
      <c r="B544" t="s">
        <v>2416</v>
      </c>
      <c r="C544" t="s">
        <v>2417</v>
      </c>
      <c r="D544" t="s">
        <v>2722</v>
      </c>
    </row>
    <row r="545" spans="1:4" x14ac:dyDescent="0.25">
      <c r="A545" t="s">
        <v>2418</v>
      </c>
      <c r="B545" t="s">
        <v>2419</v>
      </c>
      <c r="C545" t="s">
        <v>2420</v>
      </c>
      <c r="D545" t="s">
        <v>2723</v>
      </c>
    </row>
    <row r="546" spans="1:4" x14ac:dyDescent="0.25">
      <c r="A546" t="s">
        <v>2421</v>
      </c>
      <c r="B546" t="s">
        <v>2422</v>
      </c>
      <c r="C546" t="s">
        <v>2423</v>
      </c>
      <c r="D546" t="s">
        <v>2724</v>
      </c>
    </row>
    <row r="547" spans="1:4" x14ac:dyDescent="0.25">
      <c r="A547" t="s">
        <v>2424</v>
      </c>
      <c r="B547" t="s">
        <v>2425</v>
      </c>
      <c r="C547" t="s">
        <v>2426</v>
      </c>
      <c r="D547" t="s">
        <v>2725</v>
      </c>
    </row>
    <row r="548" spans="1:4" x14ac:dyDescent="0.25">
      <c r="A548" t="s">
        <v>2427</v>
      </c>
      <c r="B548" t="s">
        <v>2428</v>
      </c>
      <c r="C548" t="s">
        <v>2429</v>
      </c>
      <c r="D548" t="s">
        <v>2726</v>
      </c>
    </row>
    <row r="549" spans="1:4" x14ac:dyDescent="0.25">
      <c r="A549" t="s">
        <v>2430</v>
      </c>
      <c r="B549" t="s">
        <v>2431</v>
      </c>
      <c r="C549" t="s">
        <v>2432</v>
      </c>
      <c r="D549" t="s">
        <v>2727</v>
      </c>
    </row>
    <row r="550" spans="1:4" x14ac:dyDescent="0.25">
      <c r="A550" t="s">
        <v>2433</v>
      </c>
      <c r="B550" t="s">
        <v>2434</v>
      </c>
      <c r="C550" t="s">
        <v>2435</v>
      </c>
      <c r="D550" t="s">
        <v>2728</v>
      </c>
    </row>
    <row r="551" spans="1:4" x14ac:dyDescent="0.25">
      <c r="A551" t="s">
        <v>2436</v>
      </c>
      <c r="B551" t="s">
        <v>2437</v>
      </c>
      <c r="C551" t="s">
        <v>2438</v>
      </c>
      <c r="D551" t="s">
        <v>2729</v>
      </c>
    </row>
    <row r="552" spans="1:4" x14ac:dyDescent="0.25">
      <c r="A552" t="s">
        <v>2439</v>
      </c>
      <c r="B552" t="s">
        <v>2440</v>
      </c>
      <c r="C552" t="s">
        <v>2441</v>
      </c>
      <c r="D552" t="s">
        <v>2730</v>
      </c>
    </row>
    <row r="553" spans="1:4" x14ac:dyDescent="0.25">
      <c r="A553" t="s">
        <v>2442</v>
      </c>
      <c r="B553" t="s">
        <v>2443</v>
      </c>
      <c r="C553" t="s">
        <v>2444</v>
      </c>
      <c r="D553" t="s">
        <v>2731</v>
      </c>
    </row>
    <row r="554" spans="1:4" x14ac:dyDescent="0.25">
      <c r="A554" t="s">
        <v>2445</v>
      </c>
      <c r="B554" t="s">
        <v>2446</v>
      </c>
      <c r="C554" t="s">
        <v>2447</v>
      </c>
      <c r="D554" t="s">
        <v>2732</v>
      </c>
    </row>
    <row r="555" spans="1:4" x14ac:dyDescent="0.25">
      <c r="A555" t="s">
        <v>2448</v>
      </c>
      <c r="B555" t="s">
        <v>2449</v>
      </c>
      <c r="C555" t="s">
        <v>2450</v>
      </c>
      <c r="D555" t="s">
        <v>2733</v>
      </c>
    </row>
    <row r="556" spans="1:4" x14ac:dyDescent="0.25">
      <c r="A556" t="s">
        <v>2451</v>
      </c>
      <c r="B556" t="s">
        <v>2452</v>
      </c>
      <c r="C556" t="s">
        <v>2453</v>
      </c>
      <c r="D556" t="s">
        <v>2734</v>
      </c>
    </row>
    <row r="557" spans="1:4" x14ac:dyDescent="0.25">
      <c r="A557" t="s">
        <v>2454</v>
      </c>
      <c r="B557" t="s">
        <v>2455</v>
      </c>
      <c r="C557" t="s">
        <v>2456</v>
      </c>
      <c r="D557" t="s">
        <v>2735</v>
      </c>
    </row>
    <row r="558" spans="1:4" x14ac:dyDescent="0.25">
      <c r="A558" t="s">
        <v>2457</v>
      </c>
      <c r="B558" t="s">
        <v>2458</v>
      </c>
      <c r="C558" t="s">
        <v>2459</v>
      </c>
      <c r="D558" t="s">
        <v>2736</v>
      </c>
    </row>
    <row r="559" spans="1:4" x14ac:dyDescent="0.25">
      <c r="A559" t="s">
        <v>2460</v>
      </c>
      <c r="B559" t="s">
        <v>2461</v>
      </c>
      <c r="C559" t="s">
        <v>2462</v>
      </c>
      <c r="D559" t="s">
        <v>2737</v>
      </c>
    </row>
    <row r="560" spans="1:4" x14ac:dyDescent="0.25">
      <c r="A560" t="s">
        <v>2463</v>
      </c>
      <c r="B560" t="s">
        <v>2464</v>
      </c>
      <c r="C560" t="s">
        <v>2465</v>
      </c>
      <c r="D560" t="s">
        <v>2738</v>
      </c>
    </row>
    <row r="561" spans="1:4" x14ac:dyDescent="0.25">
      <c r="A561" t="s">
        <v>2466</v>
      </c>
      <c r="B561" t="s">
        <v>2467</v>
      </c>
      <c r="C561" t="s">
        <v>2468</v>
      </c>
      <c r="D561" t="s">
        <v>2739</v>
      </c>
    </row>
    <row r="562" spans="1:4" x14ac:dyDescent="0.25">
      <c r="A562" t="s">
        <v>2469</v>
      </c>
      <c r="B562" t="s">
        <v>2470</v>
      </c>
      <c r="C562" t="s">
        <v>2280</v>
      </c>
      <c r="D562" t="s">
        <v>2740</v>
      </c>
    </row>
    <row r="563" spans="1:4" x14ac:dyDescent="0.25">
      <c r="A563" t="s">
        <v>2471</v>
      </c>
      <c r="B563" t="s">
        <v>2472</v>
      </c>
      <c r="C563" t="s">
        <v>2473</v>
      </c>
      <c r="D563" t="s">
        <v>2741</v>
      </c>
    </row>
    <row r="564" spans="1:4" x14ac:dyDescent="0.25">
      <c r="A564" t="s">
        <v>2474</v>
      </c>
      <c r="B564" t="s">
        <v>2475</v>
      </c>
      <c r="C564" t="s">
        <v>2476</v>
      </c>
      <c r="D564" t="s">
        <v>2742</v>
      </c>
    </row>
    <row r="565" spans="1:4" x14ac:dyDescent="0.25">
      <c r="A565" t="s">
        <v>2477</v>
      </c>
      <c r="B565" t="s">
        <v>2478</v>
      </c>
      <c r="C565" t="s">
        <v>2479</v>
      </c>
      <c r="D565" t="s">
        <v>2743</v>
      </c>
    </row>
    <row r="566" spans="1:4" x14ac:dyDescent="0.25">
      <c r="A566" t="s">
        <v>2480</v>
      </c>
      <c r="B566" t="s">
        <v>2481</v>
      </c>
      <c r="C566" t="s">
        <v>2482</v>
      </c>
      <c r="D566" t="s">
        <v>2744</v>
      </c>
    </row>
    <row r="567" spans="1:4" x14ac:dyDescent="0.25">
      <c r="A567" t="s">
        <v>2483</v>
      </c>
      <c r="B567" t="s">
        <v>2484</v>
      </c>
      <c r="C567" t="s">
        <v>170</v>
      </c>
      <c r="D567" t="s">
        <v>2745</v>
      </c>
    </row>
    <row r="568" spans="1:4" x14ac:dyDescent="0.25">
      <c r="A568" t="s">
        <v>2485</v>
      </c>
      <c r="B568" t="s">
        <v>2486</v>
      </c>
      <c r="C568" t="s">
        <v>2487</v>
      </c>
      <c r="D568" t="s">
        <v>2746</v>
      </c>
    </row>
    <row r="569" spans="1:4" x14ac:dyDescent="0.25">
      <c r="A569" t="s">
        <v>2488</v>
      </c>
      <c r="B569" t="s">
        <v>2489</v>
      </c>
      <c r="C569" t="s">
        <v>2490</v>
      </c>
      <c r="D569" t="s">
        <v>2747</v>
      </c>
    </row>
    <row r="570" spans="1:4" x14ac:dyDescent="0.25">
      <c r="A570" t="s">
        <v>2491</v>
      </c>
      <c r="B570" t="s">
        <v>2492</v>
      </c>
      <c r="C570" t="s">
        <v>2493</v>
      </c>
      <c r="D570" t="s">
        <v>2748</v>
      </c>
    </row>
    <row r="571" spans="1:4" x14ac:dyDescent="0.25">
      <c r="A571" t="s">
        <v>2494</v>
      </c>
      <c r="B571" t="s">
        <v>2495</v>
      </c>
      <c r="C571" t="s">
        <v>2496</v>
      </c>
      <c r="D571" t="s">
        <v>2749</v>
      </c>
    </row>
    <row r="572" spans="1:4" x14ac:dyDescent="0.25">
      <c r="A572" t="s">
        <v>2497</v>
      </c>
      <c r="B572" t="s">
        <v>2498</v>
      </c>
      <c r="C572" t="s">
        <v>2499</v>
      </c>
      <c r="D572" t="s">
        <v>2750</v>
      </c>
    </row>
    <row r="573" spans="1:4" x14ac:dyDescent="0.25">
      <c r="A573" t="s">
        <v>2500</v>
      </c>
      <c r="B573" t="s">
        <v>2501</v>
      </c>
      <c r="C573" t="s">
        <v>2502</v>
      </c>
      <c r="D573" t="s">
        <v>2751</v>
      </c>
    </row>
    <row r="574" spans="1:4" x14ac:dyDescent="0.25">
      <c r="A574" t="s">
        <v>2503</v>
      </c>
      <c r="B574" t="s">
        <v>2504</v>
      </c>
      <c r="C574" t="s">
        <v>2505</v>
      </c>
      <c r="D574" t="s">
        <v>2752</v>
      </c>
    </row>
    <row r="575" spans="1:4" x14ac:dyDescent="0.25">
      <c r="A575" t="s">
        <v>2506</v>
      </c>
      <c r="B575" t="s">
        <v>2507</v>
      </c>
      <c r="C575" t="s">
        <v>2508</v>
      </c>
      <c r="D575" t="s">
        <v>2753</v>
      </c>
    </row>
    <row r="576" spans="1:4" x14ac:dyDescent="0.25">
      <c r="A576" t="s">
        <v>2509</v>
      </c>
      <c r="B576" t="s">
        <v>2510</v>
      </c>
      <c r="C576" t="s">
        <v>2511</v>
      </c>
      <c r="D576" t="s">
        <v>2754</v>
      </c>
    </row>
    <row r="577" spans="1:4" x14ac:dyDescent="0.25">
      <c r="A577" t="s">
        <v>2512</v>
      </c>
      <c r="B577" t="s">
        <v>2082</v>
      </c>
      <c r="C577" t="s">
        <v>2513</v>
      </c>
      <c r="D577" t="s">
        <v>2755</v>
      </c>
    </row>
    <row r="578" spans="1:4" x14ac:dyDescent="0.25">
      <c r="A578" t="s">
        <v>2514</v>
      </c>
      <c r="B578" t="s">
        <v>2515</v>
      </c>
      <c r="C578" t="s">
        <v>2516</v>
      </c>
      <c r="D578" t="s">
        <v>2756</v>
      </c>
    </row>
    <row r="579" spans="1:4" x14ac:dyDescent="0.25">
      <c r="A579" t="s">
        <v>2517</v>
      </c>
      <c r="B579" t="s">
        <v>2518</v>
      </c>
      <c r="C579" t="s">
        <v>2519</v>
      </c>
      <c r="D579" t="s">
        <v>2757</v>
      </c>
    </row>
    <row r="580" spans="1:4" x14ac:dyDescent="0.25">
      <c r="A580" t="s">
        <v>2520</v>
      </c>
      <c r="B580" t="s">
        <v>2521</v>
      </c>
      <c r="C580" t="s">
        <v>2522</v>
      </c>
      <c r="D580" t="s">
        <v>2758</v>
      </c>
    </row>
    <row r="581" spans="1:4" x14ac:dyDescent="0.25">
      <c r="A581" t="s">
        <v>2523</v>
      </c>
      <c r="B581" t="s">
        <v>2524</v>
      </c>
      <c r="C581" t="s">
        <v>2525</v>
      </c>
      <c r="D581" t="s">
        <v>2759</v>
      </c>
    </row>
    <row r="582" spans="1:4" x14ac:dyDescent="0.25">
      <c r="A582" t="s">
        <v>2526</v>
      </c>
      <c r="B582" t="s">
        <v>2527</v>
      </c>
      <c r="C582" t="s">
        <v>2528</v>
      </c>
      <c r="D582" t="s">
        <v>2760</v>
      </c>
    </row>
    <row r="583" spans="1:4" x14ac:dyDescent="0.25">
      <c r="A583" t="s">
        <v>2529</v>
      </c>
      <c r="B583" t="s">
        <v>2530</v>
      </c>
      <c r="C583" t="s">
        <v>2531</v>
      </c>
      <c r="D583" t="s">
        <v>2761</v>
      </c>
    </row>
    <row r="584" spans="1:4" x14ac:dyDescent="0.25">
      <c r="A584" t="s">
        <v>2532</v>
      </c>
      <c r="B584" t="s">
        <v>2533</v>
      </c>
      <c r="C584" t="s">
        <v>2534</v>
      </c>
      <c r="D584" t="s">
        <v>2762</v>
      </c>
    </row>
    <row r="585" spans="1:4" x14ac:dyDescent="0.25">
      <c r="A585" t="s">
        <v>2535</v>
      </c>
      <c r="B585" t="s">
        <v>2536</v>
      </c>
      <c r="C585" t="s">
        <v>2537</v>
      </c>
      <c r="D585" t="s">
        <v>2763</v>
      </c>
    </row>
    <row r="586" spans="1:4" x14ac:dyDescent="0.25">
      <c r="A586" t="s">
        <v>2538</v>
      </c>
      <c r="B586" t="s">
        <v>2539</v>
      </c>
      <c r="C586" t="s">
        <v>2540</v>
      </c>
      <c r="D586" t="s">
        <v>2764</v>
      </c>
    </row>
    <row r="587" spans="1:4" x14ac:dyDescent="0.25">
      <c r="A587" t="s">
        <v>2541</v>
      </c>
      <c r="B587" t="s">
        <v>2542</v>
      </c>
      <c r="C587" t="s">
        <v>2543</v>
      </c>
      <c r="D587" t="s">
        <v>2765</v>
      </c>
    </row>
    <row r="588" spans="1:4" x14ac:dyDescent="0.25">
      <c r="A588" t="s">
        <v>2544</v>
      </c>
      <c r="B588" t="s">
        <v>2545</v>
      </c>
      <c r="C588" t="s">
        <v>2546</v>
      </c>
      <c r="D588" t="s">
        <v>2766</v>
      </c>
    </row>
    <row r="589" spans="1:4" x14ac:dyDescent="0.25">
      <c r="A589" t="s">
        <v>2547</v>
      </c>
      <c r="B589" t="s">
        <v>2548</v>
      </c>
      <c r="C589" t="s">
        <v>2549</v>
      </c>
      <c r="D589" t="s">
        <v>2767</v>
      </c>
    </row>
    <row r="590" spans="1:4" x14ac:dyDescent="0.25">
      <c r="A590" t="s">
        <v>2550</v>
      </c>
      <c r="B590" t="s">
        <v>2551</v>
      </c>
      <c r="C590" t="s">
        <v>2552</v>
      </c>
      <c r="D590" t="s">
        <v>2768</v>
      </c>
    </row>
    <row r="591" spans="1:4" x14ac:dyDescent="0.25">
      <c r="A591" t="s">
        <v>2553</v>
      </c>
      <c r="B591" t="s">
        <v>2554</v>
      </c>
      <c r="C591" t="s">
        <v>2555</v>
      </c>
      <c r="D591" t="s">
        <v>2769</v>
      </c>
    </row>
    <row r="592" spans="1:4" x14ac:dyDescent="0.25">
      <c r="A592" t="s">
        <v>2556</v>
      </c>
      <c r="B592" t="s">
        <v>2557</v>
      </c>
      <c r="C592" t="s">
        <v>2558</v>
      </c>
      <c r="D592" t="s">
        <v>2770</v>
      </c>
    </row>
    <row r="593" spans="1:4" x14ac:dyDescent="0.25">
      <c r="A593" t="s">
        <v>2559</v>
      </c>
      <c r="B593" t="s">
        <v>2560</v>
      </c>
      <c r="C593" t="s">
        <v>2561</v>
      </c>
      <c r="D593" t="s">
        <v>2771</v>
      </c>
    </row>
    <row r="594" spans="1:4" x14ac:dyDescent="0.25">
      <c r="A594" t="s">
        <v>2562</v>
      </c>
      <c r="B594" t="s">
        <v>2563</v>
      </c>
      <c r="C594" t="s">
        <v>2564</v>
      </c>
      <c r="D594" t="s">
        <v>2772</v>
      </c>
    </row>
    <row r="595" spans="1:4" x14ac:dyDescent="0.25">
      <c r="A595" t="s">
        <v>2565</v>
      </c>
      <c r="B595" t="s">
        <v>2566</v>
      </c>
      <c r="C595" t="s">
        <v>2567</v>
      </c>
      <c r="D595" t="s">
        <v>2773</v>
      </c>
    </row>
    <row r="596" spans="1:4" x14ac:dyDescent="0.25">
      <c r="A596" t="s">
        <v>2989</v>
      </c>
      <c r="B596" t="s">
        <v>2990</v>
      </c>
      <c r="C596" t="s">
        <v>2991</v>
      </c>
      <c r="D596">
        <v>104360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DD90-8788-42F2-8251-0AB80EBDCDC8}">
  <dimension ref="A2:C571"/>
  <sheetViews>
    <sheetView topLeftCell="A556" workbookViewId="0">
      <selection activeCell="E577" sqref="E577"/>
    </sheetView>
  </sheetViews>
  <sheetFormatPr baseColWidth="10" defaultRowHeight="15" x14ac:dyDescent="0.25"/>
  <cols>
    <col min="2" max="2" width="35.42578125" customWidth="1"/>
  </cols>
  <sheetData>
    <row r="2" spans="1:2" x14ac:dyDescent="0.25">
      <c r="A2" s="25" t="s">
        <v>535</v>
      </c>
      <c r="B2" t="s">
        <v>1482</v>
      </c>
    </row>
    <row r="3" spans="1:2" x14ac:dyDescent="0.25">
      <c r="A3" s="25" t="s">
        <v>536</v>
      </c>
      <c r="B3" t="s">
        <v>1483</v>
      </c>
    </row>
    <row r="4" spans="1:2" x14ac:dyDescent="0.25">
      <c r="A4" s="25" t="s">
        <v>537</v>
      </c>
      <c r="B4" t="s">
        <v>100</v>
      </c>
    </row>
    <row r="5" spans="1:2" x14ac:dyDescent="0.25">
      <c r="A5" s="25" t="s">
        <v>538</v>
      </c>
      <c r="B5" t="s">
        <v>228</v>
      </c>
    </row>
    <row r="6" spans="1:2" x14ac:dyDescent="0.25">
      <c r="A6" s="25" t="s">
        <v>877</v>
      </c>
      <c r="B6" t="s">
        <v>1370</v>
      </c>
    </row>
    <row r="7" spans="1:2" x14ac:dyDescent="0.25">
      <c r="A7" s="25" t="s">
        <v>875</v>
      </c>
      <c r="B7" t="s">
        <v>1371</v>
      </c>
    </row>
    <row r="8" spans="1:2" x14ac:dyDescent="0.25">
      <c r="A8" s="25" t="s">
        <v>541</v>
      </c>
      <c r="B8" t="s">
        <v>1484</v>
      </c>
    </row>
    <row r="9" spans="1:2" x14ac:dyDescent="0.25">
      <c r="A9" s="25" t="s">
        <v>542</v>
      </c>
      <c r="B9" t="s">
        <v>1485</v>
      </c>
    </row>
    <row r="10" spans="1:2" x14ac:dyDescent="0.25">
      <c r="A10" s="25" t="s">
        <v>543</v>
      </c>
      <c r="B10" t="s">
        <v>1486</v>
      </c>
    </row>
    <row r="11" spans="1:2" x14ac:dyDescent="0.25">
      <c r="A11" s="25" t="s">
        <v>874</v>
      </c>
      <c r="B11" t="s">
        <v>1372</v>
      </c>
    </row>
    <row r="12" spans="1:2" x14ac:dyDescent="0.25">
      <c r="A12" s="25" t="s">
        <v>545</v>
      </c>
      <c r="B12" t="s">
        <v>1487</v>
      </c>
    </row>
    <row r="13" spans="1:2" x14ac:dyDescent="0.25">
      <c r="A13" s="25" t="s">
        <v>869</v>
      </c>
      <c r="B13" t="s">
        <v>1373</v>
      </c>
    </row>
    <row r="14" spans="1:2" x14ac:dyDescent="0.25">
      <c r="A14" s="25" t="s">
        <v>547</v>
      </c>
      <c r="B14" t="s">
        <v>1488</v>
      </c>
    </row>
    <row r="15" spans="1:2" x14ac:dyDescent="0.25">
      <c r="A15" s="25" t="s">
        <v>548</v>
      </c>
      <c r="B15" t="s">
        <v>1489</v>
      </c>
    </row>
    <row r="16" spans="1:2" x14ac:dyDescent="0.25">
      <c r="A16" s="25" t="s">
        <v>865</v>
      </c>
      <c r="B16" t="s">
        <v>1374</v>
      </c>
    </row>
    <row r="17" spans="1:2" x14ac:dyDescent="0.25">
      <c r="A17" s="25" t="s">
        <v>550</v>
      </c>
      <c r="B17" t="s">
        <v>1490</v>
      </c>
    </row>
    <row r="18" spans="1:2" x14ac:dyDescent="0.25">
      <c r="A18" s="25" t="s">
        <v>863</v>
      </c>
      <c r="B18" t="s">
        <v>1375</v>
      </c>
    </row>
    <row r="19" spans="1:2" x14ac:dyDescent="0.25">
      <c r="A19" s="25" t="s">
        <v>862</v>
      </c>
      <c r="B19" t="s">
        <v>57</v>
      </c>
    </row>
    <row r="20" spans="1:2" x14ac:dyDescent="0.25">
      <c r="A20" s="25" t="s">
        <v>857</v>
      </c>
      <c r="B20" t="s">
        <v>1376</v>
      </c>
    </row>
    <row r="21" spans="1:2" x14ac:dyDescent="0.25">
      <c r="A21" s="25" t="s">
        <v>854</v>
      </c>
      <c r="B21" t="s">
        <v>1377</v>
      </c>
    </row>
    <row r="22" spans="1:2" x14ac:dyDescent="0.25">
      <c r="A22" s="25" t="s">
        <v>853</v>
      </c>
      <c r="B22" t="s">
        <v>1378</v>
      </c>
    </row>
    <row r="23" spans="1:2" x14ac:dyDescent="0.25">
      <c r="A23" s="25" t="s">
        <v>556</v>
      </c>
      <c r="B23" t="s">
        <v>1491</v>
      </c>
    </row>
    <row r="24" spans="1:2" x14ac:dyDescent="0.25">
      <c r="A24" s="25" t="s">
        <v>846</v>
      </c>
      <c r="B24" t="s">
        <v>1379</v>
      </c>
    </row>
    <row r="25" spans="1:2" x14ac:dyDescent="0.25">
      <c r="A25" s="25" t="s">
        <v>558</v>
      </c>
      <c r="B25" t="s">
        <v>105</v>
      </c>
    </row>
    <row r="26" spans="1:2" x14ac:dyDescent="0.25">
      <c r="A26" s="25" t="s">
        <v>559</v>
      </c>
      <c r="B26" t="s">
        <v>209</v>
      </c>
    </row>
    <row r="27" spans="1:2" x14ac:dyDescent="0.25">
      <c r="A27" s="25" t="s">
        <v>560</v>
      </c>
      <c r="B27" t="s">
        <v>1492</v>
      </c>
    </row>
    <row r="28" spans="1:2" x14ac:dyDescent="0.25">
      <c r="A28" s="25" t="s">
        <v>561</v>
      </c>
      <c r="B28" t="s">
        <v>1493</v>
      </c>
    </row>
    <row r="29" spans="1:2" x14ac:dyDescent="0.25">
      <c r="A29" s="25" t="s">
        <v>562</v>
      </c>
      <c r="B29" t="s">
        <v>68</v>
      </c>
    </row>
    <row r="30" spans="1:2" x14ac:dyDescent="0.25">
      <c r="A30" s="25" t="s">
        <v>563</v>
      </c>
      <c r="B30" t="s">
        <v>1494</v>
      </c>
    </row>
    <row r="31" spans="1:2" x14ac:dyDescent="0.25">
      <c r="A31" s="25" t="s">
        <v>842</v>
      </c>
      <c r="B31" t="s">
        <v>1380</v>
      </c>
    </row>
    <row r="32" spans="1:2" x14ac:dyDescent="0.25">
      <c r="A32" s="25" t="s">
        <v>841</v>
      </c>
      <c r="B32" t="s">
        <v>1381</v>
      </c>
    </row>
    <row r="33" spans="1:2" x14ac:dyDescent="0.25">
      <c r="A33" s="25" t="s">
        <v>839</v>
      </c>
      <c r="B33" t="s">
        <v>1382</v>
      </c>
    </row>
    <row r="34" spans="1:2" x14ac:dyDescent="0.25">
      <c r="A34" s="25" t="s">
        <v>567</v>
      </c>
      <c r="B34" t="s">
        <v>193</v>
      </c>
    </row>
    <row r="35" spans="1:2" x14ac:dyDescent="0.25">
      <c r="A35" s="25" t="s">
        <v>568</v>
      </c>
      <c r="B35" t="s">
        <v>200</v>
      </c>
    </row>
    <row r="36" spans="1:2" x14ac:dyDescent="0.25">
      <c r="A36" s="25" t="s">
        <v>838</v>
      </c>
      <c r="B36" t="s">
        <v>1383</v>
      </c>
    </row>
    <row r="37" spans="1:2" x14ac:dyDescent="0.25">
      <c r="A37" s="25" t="s">
        <v>570</v>
      </c>
      <c r="B37" t="s">
        <v>1495</v>
      </c>
    </row>
    <row r="38" spans="1:2" x14ac:dyDescent="0.25">
      <c r="A38" s="25" t="s">
        <v>837</v>
      </c>
      <c r="B38" t="s">
        <v>1384</v>
      </c>
    </row>
    <row r="39" spans="1:2" x14ac:dyDescent="0.25">
      <c r="A39" s="25" t="s">
        <v>572</v>
      </c>
      <c r="B39" t="s">
        <v>1496</v>
      </c>
    </row>
    <row r="40" spans="1:2" x14ac:dyDescent="0.25">
      <c r="A40" s="25" t="s">
        <v>835</v>
      </c>
      <c r="B40" t="s">
        <v>1385</v>
      </c>
    </row>
    <row r="41" spans="1:2" x14ac:dyDescent="0.25">
      <c r="A41" s="25" t="s">
        <v>574</v>
      </c>
      <c r="B41" t="s">
        <v>1497</v>
      </c>
    </row>
    <row r="42" spans="1:2" x14ac:dyDescent="0.25">
      <c r="A42" s="25" t="s">
        <v>834</v>
      </c>
      <c r="B42" t="s">
        <v>218</v>
      </c>
    </row>
    <row r="43" spans="1:2" x14ac:dyDescent="0.25">
      <c r="A43" s="25" t="s">
        <v>576</v>
      </c>
      <c r="B43" t="s">
        <v>201</v>
      </c>
    </row>
    <row r="44" spans="1:2" x14ac:dyDescent="0.25">
      <c r="A44" s="25" t="s">
        <v>577</v>
      </c>
      <c r="B44" t="s">
        <v>1498</v>
      </c>
    </row>
    <row r="45" spans="1:2" x14ac:dyDescent="0.25">
      <c r="A45" s="25" t="s">
        <v>833</v>
      </c>
      <c r="B45" t="s">
        <v>1386</v>
      </c>
    </row>
    <row r="46" spans="1:2" x14ac:dyDescent="0.25">
      <c r="A46" s="25" t="s">
        <v>579</v>
      </c>
      <c r="B46" t="s">
        <v>1499</v>
      </c>
    </row>
    <row r="47" spans="1:2" x14ac:dyDescent="0.25">
      <c r="A47" s="25" t="s">
        <v>580</v>
      </c>
      <c r="B47" t="s">
        <v>85</v>
      </c>
    </row>
    <row r="48" spans="1:2" x14ac:dyDescent="0.25">
      <c r="A48" s="25" t="s">
        <v>581</v>
      </c>
      <c r="B48" t="s">
        <v>214</v>
      </c>
    </row>
    <row r="49" spans="1:2" x14ac:dyDescent="0.25">
      <c r="A49" s="25" t="s">
        <v>832</v>
      </c>
      <c r="B49" t="s">
        <v>1387</v>
      </c>
    </row>
    <row r="50" spans="1:2" x14ac:dyDescent="0.25">
      <c r="A50" s="25" t="s">
        <v>583</v>
      </c>
      <c r="B50" t="s">
        <v>52</v>
      </c>
    </row>
    <row r="51" spans="1:2" x14ac:dyDescent="0.25">
      <c r="A51" s="25" t="s">
        <v>584</v>
      </c>
      <c r="B51" t="s">
        <v>58</v>
      </c>
    </row>
    <row r="52" spans="1:2" x14ac:dyDescent="0.25">
      <c r="A52" s="25" t="s">
        <v>585</v>
      </c>
      <c r="B52" t="s">
        <v>194</v>
      </c>
    </row>
    <row r="53" spans="1:2" x14ac:dyDescent="0.25">
      <c r="A53" s="25" t="s">
        <v>586</v>
      </c>
      <c r="B53" t="s">
        <v>46</v>
      </c>
    </row>
    <row r="54" spans="1:2" x14ac:dyDescent="0.25">
      <c r="A54" s="25" t="s">
        <v>831</v>
      </c>
      <c r="B54" t="s">
        <v>1388</v>
      </c>
    </row>
    <row r="55" spans="1:2" x14ac:dyDescent="0.25">
      <c r="A55" s="25" t="s">
        <v>830</v>
      </c>
      <c r="B55" t="s">
        <v>1389</v>
      </c>
    </row>
    <row r="56" spans="1:2" x14ac:dyDescent="0.25">
      <c r="A56" s="25" t="s">
        <v>589</v>
      </c>
      <c r="B56" t="s">
        <v>62</v>
      </c>
    </row>
    <row r="57" spans="1:2" x14ac:dyDescent="0.25">
      <c r="A57" s="25" t="s">
        <v>590</v>
      </c>
      <c r="B57" t="s">
        <v>1500</v>
      </c>
    </row>
    <row r="58" spans="1:2" x14ac:dyDescent="0.25">
      <c r="A58" s="25" t="s">
        <v>591</v>
      </c>
      <c r="B58" t="s">
        <v>1501</v>
      </c>
    </row>
    <row r="59" spans="1:2" x14ac:dyDescent="0.25">
      <c r="A59" s="25" t="s">
        <v>828</v>
      </c>
      <c r="B59" t="s">
        <v>133</v>
      </c>
    </row>
    <row r="60" spans="1:2" x14ac:dyDescent="0.25">
      <c r="A60" s="25" t="s">
        <v>827</v>
      </c>
      <c r="B60" t="s">
        <v>1390</v>
      </c>
    </row>
    <row r="61" spans="1:2" x14ac:dyDescent="0.25">
      <c r="A61" s="25" t="s">
        <v>824</v>
      </c>
      <c r="B61" t="s">
        <v>1391</v>
      </c>
    </row>
    <row r="62" spans="1:2" x14ac:dyDescent="0.25">
      <c r="A62" s="25" t="s">
        <v>595</v>
      </c>
      <c r="B62" t="s">
        <v>1502</v>
      </c>
    </row>
    <row r="63" spans="1:2" x14ac:dyDescent="0.25">
      <c r="A63" s="25" t="s">
        <v>596</v>
      </c>
      <c r="B63" t="s">
        <v>1503</v>
      </c>
    </row>
    <row r="64" spans="1:2" x14ac:dyDescent="0.25">
      <c r="A64" s="25" t="s">
        <v>822</v>
      </c>
      <c r="B64" t="s">
        <v>1392</v>
      </c>
    </row>
    <row r="65" spans="1:2" x14ac:dyDescent="0.25">
      <c r="A65" s="25" t="s">
        <v>598</v>
      </c>
      <c r="B65" t="s">
        <v>1504</v>
      </c>
    </row>
    <row r="66" spans="1:2" x14ac:dyDescent="0.25">
      <c r="A66" s="25" t="s">
        <v>599</v>
      </c>
      <c r="B66" t="s">
        <v>1505</v>
      </c>
    </row>
    <row r="67" spans="1:2" x14ac:dyDescent="0.25">
      <c r="A67" s="25" t="s">
        <v>817</v>
      </c>
      <c r="B67" t="s">
        <v>1393</v>
      </c>
    </row>
    <row r="68" spans="1:2" x14ac:dyDescent="0.25">
      <c r="A68" s="25" t="s">
        <v>601</v>
      </c>
      <c r="B68" t="s">
        <v>1506</v>
      </c>
    </row>
    <row r="69" spans="1:2" x14ac:dyDescent="0.25">
      <c r="A69" s="25" t="s">
        <v>814</v>
      </c>
      <c r="B69" t="s">
        <v>1394</v>
      </c>
    </row>
    <row r="70" spans="1:2" x14ac:dyDescent="0.25">
      <c r="A70" s="25" t="s">
        <v>603</v>
      </c>
      <c r="B70" t="s">
        <v>1507</v>
      </c>
    </row>
    <row r="71" spans="1:2" x14ac:dyDescent="0.25">
      <c r="A71" s="25" t="s">
        <v>604</v>
      </c>
      <c r="B71" t="s">
        <v>156</v>
      </c>
    </row>
    <row r="72" spans="1:2" x14ac:dyDescent="0.25">
      <c r="A72" s="25" t="s">
        <v>605</v>
      </c>
      <c r="B72" t="s">
        <v>1508</v>
      </c>
    </row>
    <row r="73" spans="1:2" x14ac:dyDescent="0.25">
      <c r="A73" s="25" t="s">
        <v>813</v>
      </c>
      <c r="B73" t="s">
        <v>1395</v>
      </c>
    </row>
    <row r="74" spans="1:2" x14ac:dyDescent="0.25">
      <c r="A74" s="25" t="s">
        <v>607</v>
      </c>
      <c r="B74" t="s">
        <v>1509</v>
      </c>
    </row>
    <row r="75" spans="1:2" x14ac:dyDescent="0.25">
      <c r="A75" s="25" t="s">
        <v>608</v>
      </c>
      <c r="B75" t="s">
        <v>1510</v>
      </c>
    </row>
    <row r="76" spans="1:2" x14ac:dyDescent="0.25">
      <c r="A76" s="25" t="s">
        <v>609</v>
      </c>
      <c r="B76" t="s">
        <v>72</v>
      </c>
    </row>
    <row r="77" spans="1:2" x14ac:dyDescent="0.25">
      <c r="A77" s="25" t="s">
        <v>610</v>
      </c>
      <c r="B77" t="s">
        <v>225</v>
      </c>
    </row>
    <row r="78" spans="1:2" x14ac:dyDescent="0.25">
      <c r="A78" s="25" t="s">
        <v>812</v>
      </c>
      <c r="B78" t="s">
        <v>1396</v>
      </c>
    </row>
    <row r="79" spans="1:2" x14ac:dyDescent="0.25">
      <c r="A79" s="25" t="s">
        <v>811</v>
      </c>
      <c r="B79" t="s">
        <v>1397</v>
      </c>
    </row>
    <row r="80" spans="1:2" x14ac:dyDescent="0.25">
      <c r="A80" s="25" t="s">
        <v>810</v>
      </c>
      <c r="B80" t="s">
        <v>1398</v>
      </c>
    </row>
    <row r="81" spans="1:2" x14ac:dyDescent="0.25">
      <c r="A81" s="25" t="s">
        <v>614</v>
      </c>
      <c r="B81" t="s">
        <v>1511</v>
      </c>
    </row>
    <row r="82" spans="1:2" x14ac:dyDescent="0.25">
      <c r="A82" s="25" t="s">
        <v>615</v>
      </c>
      <c r="B82" t="s">
        <v>1512</v>
      </c>
    </row>
    <row r="83" spans="1:2" x14ac:dyDescent="0.25">
      <c r="A83" s="25" t="s">
        <v>809</v>
      </c>
      <c r="B83" t="s">
        <v>1399</v>
      </c>
    </row>
    <row r="84" spans="1:2" x14ac:dyDescent="0.25">
      <c r="A84" s="25" t="s">
        <v>617</v>
      </c>
      <c r="B84" t="s">
        <v>1513</v>
      </c>
    </row>
    <row r="85" spans="1:2" x14ac:dyDescent="0.25">
      <c r="A85" s="25" t="s">
        <v>618</v>
      </c>
      <c r="B85" t="s">
        <v>63</v>
      </c>
    </row>
    <row r="86" spans="1:2" x14ac:dyDescent="0.25">
      <c r="A86" s="25" t="s">
        <v>803</v>
      </c>
      <c r="B86" t="s">
        <v>1400</v>
      </c>
    </row>
    <row r="87" spans="1:2" x14ac:dyDescent="0.25">
      <c r="A87" s="25" t="s">
        <v>801</v>
      </c>
      <c r="B87" t="s">
        <v>1401</v>
      </c>
    </row>
    <row r="88" spans="1:2" x14ac:dyDescent="0.25">
      <c r="A88" s="25" t="s">
        <v>621</v>
      </c>
      <c r="B88" t="s">
        <v>1514</v>
      </c>
    </row>
    <row r="89" spans="1:2" x14ac:dyDescent="0.25">
      <c r="A89" s="25" t="s">
        <v>796</v>
      </c>
      <c r="B89" t="s">
        <v>1402</v>
      </c>
    </row>
    <row r="90" spans="1:2" x14ac:dyDescent="0.25">
      <c r="A90" s="25" t="s">
        <v>623</v>
      </c>
      <c r="B90" t="s">
        <v>217</v>
      </c>
    </row>
    <row r="91" spans="1:2" x14ac:dyDescent="0.25">
      <c r="A91" s="25" t="s">
        <v>624</v>
      </c>
      <c r="B91" t="s">
        <v>224</v>
      </c>
    </row>
    <row r="92" spans="1:2" x14ac:dyDescent="0.25">
      <c r="A92" s="25" t="s">
        <v>625</v>
      </c>
      <c r="B92" t="s">
        <v>1515</v>
      </c>
    </row>
    <row r="93" spans="1:2" x14ac:dyDescent="0.25">
      <c r="A93" s="25" t="s">
        <v>626</v>
      </c>
      <c r="B93" t="s">
        <v>1516</v>
      </c>
    </row>
    <row r="94" spans="1:2" x14ac:dyDescent="0.25">
      <c r="A94" s="25" t="s">
        <v>627</v>
      </c>
      <c r="B94" t="s">
        <v>226</v>
      </c>
    </row>
    <row r="95" spans="1:2" x14ac:dyDescent="0.25">
      <c r="A95" s="25" t="s">
        <v>628</v>
      </c>
      <c r="B95" t="s">
        <v>203</v>
      </c>
    </row>
    <row r="96" spans="1:2" x14ac:dyDescent="0.25">
      <c r="A96" s="25" t="s">
        <v>629</v>
      </c>
      <c r="B96" t="s">
        <v>196</v>
      </c>
    </row>
    <row r="97" spans="1:2" x14ac:dyDescent="0.25">
      <c r="A97" s="25" t="s">
        <v>630</v>
      </c>
      <c r="B97" t="s">
        <v>1517</v>
      </c>
    </row>
    <row r="98" spans="1:2" x14ac:dyDescent="0.25">
      <c r="A98" s="25" t="s">
        <v>631</v>
      </c>
      <c r="B98" t="s">
        <v>1518</v>
      </c>
    </row>
    <row r="99" spans="1:2" x14ac:dyDescent="0.25">
      <c r="A99" s="25" t="s">
        <v>632</v>
      </c>
      <c r="B99" t="s">
        <v>1519</v>
      </c>
    </row>
    <row r="100" spans="1:2" x14ac:dyDescent="0.25">
      <c r="A100" s="25" t="s">
        <v>795</v>
      </c>
      <c r="B100" t="s">
        <v>1403</v>
      </c>
    </row>
    <row r="101" spans="1:2" x14ac:dyDescent="0.25">
      <c r="A101" s="25" t="s">
        <v>793</v>
      </c>
      <c r="B101" t="s">
        <v>128</v>
      </c>
    </row>
    <row r="102" spans="1:2" x14ac:dyDescent="0.25">
      <c r="A102" s="25" t="s">
        <v>635</v>
      </c>
      <c r="B102" t="s">
        <v>1520</v>
      </c>
    </row>
    <row r="103" spans="1:2" x14ac:dyDescent="0.25">
      <c r="A103" s="25" t="s">
        <v>636</v>
      </c>
      <c r="B103" t="s">
        <v>210</v>
      </c>
    </row>
    <row r="104" spans="1:2" x14ac:dyDescent="0.25">
      <c r="A104" s="25" t="s">
        <v>637</v>
      </c>
      <c r="B104" t="s">
        <v>1521</v>
      </c>
    </row>
    <row r="105" spans="1:2" x14ac:dyDescent="0.25">
      <c r="A105" s="25" t="s">
        <v>791</v>
      </c>
      <c r="B105" t="s">
        <v>1404</v>
      </c>
    </row>
    <row r="106" spans="1:2" x14ac:dyDescent="0.25">
      <c r="A106" s="25" t="s">
        <v>790</v>
      </c>
      <c r="B106" t="s">
        <v>1405</v>
      </c>
    </row>
    <row r="107" spans="1:2" x14ac:dyDescent="0.25">
      <c r="A107" s="25" t="s">
        <v>789</v>
      </c>
      <c r="B107" t="s">
        <v>1406</v>
      </c>
    </row>
    <row r="108" spans="1:2" x14ac:dyDescent="0.25">
      <c r="A108" s="25" t="s">
        <v>641</v>
      </c>
      <c r="B108" t="s">
        <v>1522</v>
      </c>
    </row>
    <row r="109" spans="1:2" x14ac:dyDescent="0.25">
      <c r="A109" s="25" t="s">
        <v>787</v>
      </c>
      <c r="B109" t="s">
        <v>1407</v>
      </c>
    </row>
    <row r="110" spans="1:2" x14ac:dyDescent="0.25">
      <c r="A110" s="25" t="s">
        <v>643</v>
      </c>
      <c r="B110" t="s">
        <v>1523</v>
      </c>
    </row>
    <row r="111" spans="1:2" x14ac:dyDescent="0.25">
      <c r="A111" s="25" t="s">
        <v>644</v>
      </c>
      <c r="B111" t="s">
        <v>188</v>
      </c>
    </row>
    <row r="112" spans="1:2" x14ac:dyDescent="0.25">
      <c r="A112" s="25" t="s">
        <v>645</v>
      </c>
      <c r="B112" t="s">
        <v>211</v>
      </c>
    </row>
    <row r="113" spans="1:2" x14ac:dyDescent="0.25">
      <c r="A113" s="25" t="s">
        <v>646</v>
      </c>
      <c r="B113" t="s">
        <v>1524</v>
      </c>
    </row>
    <row r="114" spans="1:2" x14ac:dyDescent="0.25">
      <c r="A114" s="25" t="s">
        <v>647</v>
      </c>
      <c r="B114" t="s">
        <v>1525</v>
      </c>
    </row>
    <row r="115" spans="1:2" x14ac:dyDescent="0.25">
      <c r="A115" s="25" t="s">
        <v>648</v>
      </c>
      <c r="B115" t="s">
        <v>206</v>
      </c>
    </row>
    <row r="116" spans="1:2" x14ac:dyDescent="0.25">
      <c r="A116" s="25" t="s">
        <v>785</v>
      </c>
      <c r="B116" t="s">
        <v>1408</v>
      </c>
    </row>
    <row r="117" spans="1:2" x14ac:dyDescent="0.25">
      <c r="A117" s="25" t="s">
        <v>784</v>
      </c>
      <c r="B117" t="s">
        <v>1409</v>
      </c>
    </row>
    <row r="118" spans="1:2" x14ac:dyDescent="0.25">
      <c r="A118" s="25" t="s">
        <v>783</v>
      </c>
      <c r="B118" t="s">
        <v>1410</v>
      </c>
    </row>
    <row r="119" spans="1:2" x14ac:dyDescent="0.25">
      <c r="A119" s="25" t="s">
        <v>781</v>
      </c>
      <c r="B119" t="s">
        <v>1411</v>
      </c>
    </row>
    <row r="120" spans="1:2" x14ac:dyDescent="0.25">
      <c r="A120" s="25" t="s">
        <v>780</v>
      </c>
      <c r="B120" t="s">
        <v>1412</v>
      </c>
    </row>
    <row r="121" spans="1:2" x14ac:dyDescent="0.25">
      <c r="A121" s="25" t="s">
        <v>778</v>
      </c>
      <c r="B121" t="s">
        <v>1413</v>
      </c>
    </row>
    <row r="122" spans="1:2" x14ac:dyDescent="0.25">
      <c r="A122" s="25" t="s">
        <v>655</v>
      </c>
      <c r="B122" t="s">
        <v>1526</v>
      </c>
    </row>
    <row r="123" spans="1:2" x14ac:dyDescent="0.25">
      <c r="A123" s="25" t="s">
        <v>656</v>
      </c>
      <c r="B123" t="s">
        <v>181</v>
      </c>
    </row>
    <row r="124" spans="1:2" x14ac:dyDescent="0.25">
      <c r="A124" s="25" t="s">
        <v>657</v>
      </c>
      <c r="B124" t="s">
        <v>1527</v>
      </c>
    </row>
    <row r="125" spans="1:2" x14ac:dyDescent="0.25">
      <c r="A125" s="25" t="s">
        <v>658</v>
      </c>
      <c r="B125" t="s">
        <v>1528</v>
      </c>
    </row>
    <row r="126" spans="1:2" x14ac:dyDescent="0.25">
      <c r="A126" s="25" t="s">
        <v>659</v>
      </c>
      <c r="B126" t="s">
        <v>1529</v>
      </c>
    </row>
    <row r="127" spans="1:2" x14ac:dyDescent="0.25">
      <c r="A127" s="25" t="s">
        <v>660</v>
      </c>
      <c r="B127" t="s">
        <v>1530</v>
      </c>
    </row>
    <row r="128" spans="1:2" x14ac:dyDescent="0.25">
      <c r="A128" s="25" t="s">
        <v>776</v>
      </c>
      <c r="B128" t="s">
        <v>165</v>
      </c>
    </row>
    <row r="129" spans="1:2" x14ac:dyDescent="0.25">
      <c r="A129" s="25" t="s">
        <v>774</v>
      </c>
      <c r="B129" t="s">
        <v>1414</v>
      </c>
    </row>
    <row r="130" spans="1:2" x14ac:dyDescent="0.25">
      <c r="A130" s="25" t="s">
        <v>663</v>
      </c>
      <c r="B130" t="s">
        <v>202</v>
      </c>
    </row>
    <row r="131" spans="1:2" x14ac:dyDescent="0.25">
      <c r="A131" s="25" t="s">
        <v>773</v>
      </c>
      <c r="B131" t="s">
        <v>1415</v>
      </c>
    </row>
    <row r="132" spans="1:2" x14ac:dyDescent="0.25">
      <c r="A132" s="25" t="s">
        <v>665</v>
      </c>
      <c r="B132" t="s">
        <v>1531</v>
      </c>
    </row>
    <row r="133" spans="1:2" x14ac:dyDescent="0.25">
      <c r="A133" s="25" t="s">
        <v>666</v>
      </c>
      <c r="B133" t="s">
        <v>61</v>
      </c>
    </row>
    <row r="134" spans="1:2" x14ac:dyDescent="0.25">
      <c r="A134" s="25" t="s">
        <v>772</v>
      </c>
      <c r="B134" t="s">
        <v>1416</v>
      </c>
    </row>
    <row r="135" spans="1:2" x14ac:dyDescent="0.25">
      <c r="A135" s="25" t="s">
        <v>668</v>
      </c>
      <c r="B135" t="s">
        <v>1532</v>
      </c>
    </row>
    <row r="136" spans="1:2" x14ac:dyDescent="0.25">
      <c r="A136" s="25" t="s">
        <v>767</v>
      </c>
      <c r="B136" t="s">
        <v>1417</v>
      </c>
    </row>
    <row r="137" spans="1:2" x14ac:dyDescent="0.25">
      <c r="A137" s="25" t="s">
        <v>761</v>
      </c>
      <c r="B137" t="s">
        <v>53</v>
      </c>
    </row>
    <row r="138" spans="1:2" x14ac:dyDescent="0.25">
      <c r="A138" s="25" t="s">
        <v>752</v>
      </c>
      <c r="B138" t="s">
        <v>1418</v>
      </c>
    </row>
    <row r="139" spans="1:2" x14ac:dyDescent="0.25">
      <c r="A139" s="25" t="s">
        <v>672</v>
      </c>
      <c r="B139" t="s">
        <v>1533</v>
      </c>
    </row>
    <row r="140" spans="1:2" x14ac:dyDescent="0.25">
      <c r="A140" s="25" t="s">
        <v>673</v>
      </c>
      <c r="B140" t="s">
        <v>1534</v>
      </c>
    </row>
    <row r="141" spans="1:2" x14ac:dyDescent="0.25">
      <c r="A141" s="25" t="s">
        <v>751</v>
      </c>
      <c r="B141" t="s">
        <v>1419</v>
      </c>
    </row>
    <row r="142" spans="1:2" x14ac:dyDescent="0.25">
      <c r="A142" s="25" t="s">
        <v>675</v>
      </c>
      <c r="B142" t="s">
        <v>1535</v>
      </c>
    </row>
    <row r="143" spans="1:2" x14ac:dyDescent="0.25">
      <c r="A143" s="25" t="s">
        <v>750</v>
      </c>
      <c r="B143" t="s">
        <v>1420</v>
      </c>
    </row>
    <row r="144" spans="1:2" x14ac:dyDescent="0.25">
      <c r="A144" t="s">
        <v>677</v>
      </c>
      <c r="B144" t="s">
        <v>1536</v>
      </c>
    </row>
    <row r="145" spans="1:2" x14ac:dyDescent="0.25">
      <c r="A145" t="s">
        <v>678</v>
      </c>
      <c r="B145" t="s">
        <v>70</v>
      </c>
    </row>
    <row r="146" spans="1:2" x14ac:dyDescent="0.25">
      <c r="A146" t="s">
        <v>679</v>
      </c>
      <c r="B146" t="s">
        <v>182</v>
      </c>
    </row>
    <row r="147" spans="1:2" x14ac:dyDescent="0.25">
      <c r="A147" t="s">
        <v>680</v>
      </c>
      <c r="B147" t="s">
        <v>1537</v>
      </c>
    </row>
    <row r="148" spans="1:2" x14ac:dyDescent="0.25">
      <c r="A148" t="s">
        <v>681</v>
      </c>
      <c r="B148" t="s">
        <v>1538</v>
      </c>
    </row>
    <row r="149" spans="1:2" x14ac:dyDescent="0.25">
      <c r="A149" t="s">
        <v>682</v>
      </c>
      <c r="B149" t="s">
        <v>1539</v>
      </c>
    </row>
    <row r="150" spans="1:2" x14ac:dyDescent="0.25">
      <c r="A150" t="s">
        <v>740</v>
      </c>
      <c r="B150" t="s">
        <v>122</v>
      </c>
    </row>
    <row r="151" spans="1:2" x14ac:dyDescent="0.25">
      <c r="A151" t="s">
        <v>684</v>
      </c>
      <c r="B151" t="s">
        <v>1540</v>
      </c>
    </row>
    <row r="152" spans="1:2" x14ac:dyDescent="0.25">
      <c r="A152" t="s">
        <v>739</v>
      </c>
      <c r="B152" t="s">
        <v>1421</v>
      </c>
    </row>
    <row r="153" spans="1:2" x14ac:dyDescent="0.25">
      <c r="A153" t="s">
        <v>686</v>
      </c>
      <c r="B153" t="s">
        <v>1541</v>
      </c>
    </row>
    <row r="154" spans="1:2" x14ac:dyDescent="0.25">
      <c r="A154" t="s">
        <v>687</v>
      </c>
      <c r="B154" t="s">
        <v>1542</v>
      </c>
    </row>
    <row r="155" spans="1:2" x14ac:dyDescent="0.25">
      <c r="A155" t="s">
        <v>688</v>
      </c>
      <c r="B155" t="s">
        <v>1543</v>
      </c>
    </row>
    <row r="156" spans="1:2" x14ac:dyDescent="0.25">
      <c r="A156" t="s">
        <v>689</v>
      </c>
      <c r="B156" t="s">
        <v>1544</v>
      </c>
    </row>
    <row r="157" spans="1:2" x14ac:dyDescent="0.25">
      <c r="A157" t="s">
        <v>737</v>
      </c>
      <c r="B157" t="s">
        <v>164</v>
      </c>
    </row>
    <row r="158" spans="1:2" x14ac:dyDescent="0.25">
      <c r="A158" t="s">
        <v>691</v>
      </c>
      <c r="B158" t="s">
        <v>1545</v>
      </c>
    </row>
    <row r="159" spans="1:2" x14ac:dyDescent="0.25">
      <c r="A159" t="s">
        <v>736</v>
      </c>
      <c r="B159" t="s">
        <v>119</v>
      </c>
    </row>
    <row r="160" spans="1:2" x14ac:dyDescent="0.25">
      <c r="A160" t="s">
        <v>734</v>
      </c>
      <c r="B160" t="s">
        <v>1422</v>
      </c>
    </row>
    <row r="161" spans="1:2" x14ac:dyDescent="0.25">
      <c r="A161" t="s">
        <v>733</v>
      </c>
      <c r="B161" t="s">
        <v>1423</v>
      </c>
    </row>
    <row r="162" spans="1:2" x14ac:dyDescent="0.25">
      <c r="A162" t="s">
        <v>695</v>
      </c>
      <c r="B162" t="s">
        <v>223</v>
      </c>
    </row>
    <row r="163" spans="1:2" x14ac:dyDescent="0.25">
      <c r="A163" t="s">
        <v>728</v>
      </c>
      <c r="B163" t="s">
        <v>221</v>
      </c>
    </row>
    <row r="164" spans="1:2" x14ac:dyDescent="0.25">
      <c r="A164" t="s">
        <v>697</v>
      </c>
      <c r="B164" t="s">
        <v>1546</v>
      </c>
    </row>
    <row r="165" spans="1:2" x14ac:dyDescent="0.25">
      <c r="A165" t="s">
        <v>723</v>
      </c>
      <c r="B165" t="s">
        <v>1424</v>
      </c>
    </row>
    <row r="166" spans="1:2" x14ac:dyDescent="0.25">
      <c r="A166" t="s">
        <v>722</v>
      </c>
      <c r="B166" t="s">
        <v>1425</v>
      </c>
    </row>
    <row r="167" spans="1:2" x14ac:dyDescent="0.25">
      <c r="A167" t="s">
        <v>700</v>
      </c>
      <c r="B167" t="s">
        <v>233</v>
      </c>
    </row>
    <row r="168" spans="1:2" x14ac:dyDescent="0.25">
      <c r="A168" t="s">
        <v>720</v>
      </c>
      <c r="B168" t="s">
        <v>1426</v>
      </c>
    </row>
    <row r="169" spans="1:2" x14ac:dyDescent="0.25">
      <c r="A169" t="s">
        <v>702</v>
      </c>
      <c r="B169" t="s">
        <v>77</v>
      </c>
    </row>
    <row r="170" spans="1:2" x14ac:dyDescent="0.25">
      <c r="A170" t="s">
        <v>717</v>
      </c>
      <c r="B170" t="s">
        <v>1427</v>
      </c>
    </row>
    <row r="171" spans="1:2" x14ac:dyDescent="0.25">
      <c r="A171" t="s">
        <v>714</v>
      </c>
      <c r="B171" t="s">
        <v>220</v>
      </c>
    </row>
    <row r="172" spans="1:2" x14ac:dyDescent="0.25">
      <c r="A172" t="s">
        <v>710</v>
      </c>
      <c r="B172" t="s">
        <v>1428</v>
      </c>
    </row>
    <row r="173" spans="1:2" x14ac:dyDescent="0.25">
      <c r="A173" t="s">
        <v>709</v>
      </c>
      <c r="B173" t="s">
        <v>1429</v>
      </c>
    </row>
    <row r="174" spans="1:2" x14ac:dyDescent="0.25">
      <c r="A174" t="s">
        <v>707</v>
      </c>
      <c r="B174" t="s">
        <v>1547</v>
      </c>
    </row>
    <row r="175" spans="1:2" x14ac:dyDescent="0.25">
      <c r="A175" t="s">
        <v>708</v>
      </c>
      <c r="B175" t="s">
        <v>67</v>
      </c>
    </row>
    <row r="176" spans="1:2" x14ac:dyDescent="0.25">
      <c r="A176" t="s">
        <v>706</v>
      </c>
      <c r="B176" t="s">
        <v>1430</v>
      </c>
    </row>
    <row r="177" spans="1:2" x14ac:dyDescent="0.25">
      <c r="A177" t="s">
        <v>705</v>
      </c>
      <c r="B177" t="s">
        <v>1431</v>
      </c>
    </row>
    <row r="178" spans="1:2" x14ac:dyDescent="0.25">
      <c r="A178" t="s">
        <v>711</v>
      </c>
      <c r="B178" t="s">
        <v>1548</v>
      </c>
    </row>
    <row r="179" spans="1:2" x14ac:dyDescent="0.25">
      <c r="A179" t="s">
        <v>712</v>
      </c>
      <c r="B179" t="s">
        <v>1549</v>
      </c>
    </row>
    <row r="180" spans="1:2" x14ac:dyDescent="0.25">
      <c r="A180" t="s">
        <v>713</v>
      </c>
      <c r="B180" t="s">
        <v>219</v>
      </c>
    </row>
    <row r="181" spans="1:2" x14ac:dyDescent="0.25">
      <c r="A181" t="s">
        <v>704</v>
      </c>
      <c r="B181" t="s">
        <v>1432</v>
      </c>
    </row>
    <row r="182" spans="1:2" x14ac:dyDescent="0.25">
      <c r="A182" t="s">
        <v>715</v>
      </c>
      <c r="B182" t="s">
        <v>1550</v>
      </c>
    </row>
    <row r="183" spans="1:2" x14ac:dyDescent="0.25">
      <c r="A183" t="s">
        <v>716</v>
      </c>
      <c r="B183" t="s">
        <v>213</v>
      </c>
    </row>
    <row r="184" spans="1:2" x14ac:dyDescent="0.25">
      <c r="A184" t="s">
        <v>703</v>
      </c>
      <c r="B184" t="s">
        <v>1433</v>
      </c>
    </row>
    <row r="185" spans="1:2" x14ac:dyDescent="0.25">
      <c r="A185" t="s">
        <v>718</v>
      </c>
      <c r="B185" t="s">
        <v>1551</v>
      </c>
    </row>
    <row r="186" spans="1:2" x14ac:dyDescent="0.25">
      <c r="A186" t="s">
        <v>719</v>
      </c>
      <c r="B186" t="s">
        <v>1552</v>
      </c>
    </row>
    <row r="187" spans="1:2" x14ac:dyDescent="0.25">
      <c r="A187" t="s">
        <v>701</v>
      </c>
      <c r="B187" t="s">
        <v>50</v>
      </c>
    </row>
    <row r="188" spans="1:2" x14ac:dyDescent="0.25">
      <c r="A188" t="s">
        <v>721</v>
      </c>
      <c r="B188" t="s">
        <v>1553</v>
      </c>
    </row>
    <row r="189" spans="1:2" x14ac:dyDescent="0.25">
      <c r="A189" t="s">
        <v>699</v>
      </c>
      <c r="B189" t="s">
        <v>163</v>
      </c>
    </row>
    <row r="190" spans="1:2" x14ac:dyDescent="0.25">
      <c r="A190" t="s">
        <v>698</v>
      </c>
      <c r="B190" t="s">
        <v>1434</v>
      </c>
    </row>
    <row r="191" spans="1:2" x14ac:dyDescent="0.25">
      <c r="A191" t="s">
        <v>724</v>
      </c>
      <c r="B191" t="s">
        <v>1554</v>
      </c>
    </row>
    <row r="192" spans="1:2" x14ac:dyDescent="0.25">
      <c r="A192" t="s">
        <v>725</v>
      </c>
      <c r="B192" t="s">
        <v>1555</v>
      </c>
    </row>
    <row r="193" spans="1:2" x14ac:dyDescent="0.25">
      <c r="A193" t="s">
        <v>726</v>
      </c>
      <c r="B193" t="s">
        <v>1556</v>
      </c>
    </row>
    <row r="194" spans="1:2" x14ac:dyDescent="0.25">
      <c r="A194" t="s">
        <v>727</v>
      </c>
      <c r="B194" t="s">
        <v>1557</v>
      </c>
    </row>
    <row r="195" spans="1:2" x14ac:dyDescent="0.25">
      <c r="A195" t="s">
        <v>696</v>
      </c>
      <c r="B195" t="s">
        <v>1435</v>
      </c>
    </row>
    <row r="196" spans="1:2" x14ac:dyDescent="0.25">
      <c r="A196" t="s">
        <v>729</v>
      </c>
      <c r="B196" t="s">
        <v>1558</v>
      </c>
    </row>
    <row r="197" spans="1:2" x14ac:dyDescent="0.25">
      <c r="A197" t="s">
        <v>729</v>
      </c>
      <c r="B197" t="s">
        <v>1558</v>
      </c>
    </row>
    <row r="198" spans="1:2" x14ac:dyDescent="0.25">
      <c r="A198" t="s">
        <v>730</v>
      </c>
      <c r="B198" t="s">
        <v>1559</v>
      </c>
    </row>
    <row r="199" spans="1:2" x14ac:dyDescent="0.25">
      <c r="A199" t="s">
        <v>731</v>
      </c>
      <c r="B199" t="s">
        <v>1560</v>
      </c>
    </row>
    <row r="200" spans="1:2" x14ac:dyDescent="0.25">
      <c r="A200" t="s">
        <v>732</v>
      </c>
      <c r="B200" t="s">
        <v>212</v>
      </c>
    </row>
    <row r="201" spans="1:2" x14ac:dyDescent="0.25">
      <c r="A201" t="s">
        <v>694</v>
      </c>
      <c r="B201" t="s">
        <v>64</v>
      </c>
    </row>
    <row r="202" spans="1:2" x14ac:dyDescent="0.25">
      <c r="A202" t="s">
        <v>693</v>
      </c>
      <c r="B202" t="s">
        <v>1436</v>
      </c>
    </row>
    <row r="203" spans="1:2" x14ac:dyDescent="0.25">
      <c r="A203" t="s">
        <v>735</v>
      </c>
      <c r="B203" t="s">
        <v>1561</v>
      </c>
    </row>
    <row r="204" spans="1:2" x14ac:dyDescent="0.25">
      <c r="A204" t="s">
        <v>692</v>
      </c>
      <c r="B204" t="s">
        <v>1437</v>
      </c>
    </row>
    <row r="205" spans="1:2" x14ac:dyDescent="0.25">
      <c r="A205" t="s">
        <v>690</v>
      </c>
      <c r="B205" t="s">
        <v>1438</v>
      </c>
    </row>
    <row r="206" spans="1:2" x14ac:dyDescent="0.25">
      <c r="A206" t="s">
        <v>738</v>
      </c>
      <c r="B206" t="s">
        <v>91</v>
      </c>
    </row>
    <row r="207" spans="1:2" x14ac:dyDescent="0.25">
      <c r="A207" t="s">
        <v>685</v>
      </c>
      <c r="B207" t="s">
        <v>1439</v>
      </c>
    </row>
    <row r="208" spans="1:2" x14ac:dyDescent="0.25">
      <c r="A208" t="s">
        <v>683</v>
      </c>
      <c r="B208" t="s">
        <v>1440</v>
      </c>
    </row>
    <row r="209" spans="1:2" x14ac:dyDescent="0.25">
      <c r="A209" t="s">
        <v>741</v>
      </c>
      <c r="B209" t="s">
        <v>71</v>
      </c>
    </row>
    <row r="210" spans="1:2" x14ac:dyDescent="0.25">
      <c r="A210" t="s">
        <v>742</v>
      </c>
      <c r="B210" t="s">
        <v>1562</v>
      </c>
    </row>
    <row r="211" spans="1:2" x14ac:dyDescent="0.25">
      <c r="A211" t="s">
        <v>743</v>
      </c>
      <c r="B211" t="s">
        <v>192</v>
      </c>
    </row>
    <row r="212" spans="1:2" x14ac:dyDescent="0.25">
      <c r="A212" t="s">
        <v>744</v>
      </c>
      <c r="B212" t="s">
        <v>208</v>
      </c>
    </row>
    <row r="213" spans="1:2" x14ac:dyDescent="0.25">
      <c r="A213" t="s">
        <v>745</v>
      </c>
      <c r="B213" t="s">
        <v>1563</v>
      </c>
    </row>
    <row r="214" spans="1:2" x14ac:dyDescent="0.25">
      <c r="A214" t="s">
        <v>746</v>
      </c>
      <c r="B214" t="s">
        <v>1564</v>
      </c>
    </row>
    <row r="215" spans="1:2" x14ac:dyDescent="0.25">
      <c r="A215" t="s">
        <v>747</v>
      </c>
      <c r="B215" t="s">
        <v>207</v>
      </c>
    </row>
    <row r="216" spans="1:2" x14ac:dyDescent="0.25">
      <c r="A216" t="s">
        <v>748</v>
      </c>
      <c r="B216" t="s">
        <v>222</v>
      </c>
    </row>
    <row r="217" spans="1:2" x14ac:dyDescent="0.25">
      <c r="A217" t="s">
        <v>749</v>
      </c>
      <c r="B217" t="s">
        <v>1565</v>
      </c>
    </row>
    <row r="218" spans="1:2" x14ac:dyDescent="0.25">
      <c r="A218" t="s">
        <v>676</v>
      </c>
      <c r="B218" t="s">
        <v>1441</v>
      </c>
    </row>
    <row r="219" spans="1:2" x14ac:dyDescent="0.25">
      <c r="A219" t="s">
        <v>674</v>
      </c>
      <c r="B219" t="s">
        <v>1442</v>
      </c>
    </row>
    <row r="220" spans="1:2" x14ac:dyDescent="0.25">
      <c r="A220" t="s">
        <v>671</v>
      </c>
      <c r="B220" t="s">
        <v>162</v>
      </c>
    </row>
    <row r="221" spans="1:2" x14ac:dyDescent="0.25">
      <c r="A221" t="s">
        <v>753</v>
      </c>
      <c r="B221" t="s">
        <v>1566</v>
      </c>
    </row>
    <row r="222" spans="1:2" x14ac:dyDescent="0.25">
      <c r="A222" t="s">
        <v>754</v>
      </c>
      <c r="B222" t="s">
        <v>69</v>
      </c>
    </row>
    <row r="223" spans="1:2" x14ac:dyDescent="0.25">
      <c r="A223" t="s">
        <v>755</v>
      </c>
      <c r="B223" t="s">
        <v>125</v>
      </c>
    </row>
    <row r="224" spans="1:2" x14ac:dyDescent="0.25">
      <c r="A224" t="s">
        <v>756</v>
      </c>
      <c r="B224" t="s">
        <v>1567</v>
      </c>
    </row>
    <row r="225" spans="1:2" x14ac:dyDescent="0.25">
      <c r="A225" t="s">
        <v>757</v>
      </c>
      <c r="B225" t="s">
        <v>195</v>
      </c>
    </row>
    <row r="226" spans="1:2" x14ac:dyDescent="0.25">
      <c r="A226" t="s">
        <v>758</v>
      </c>
      <c r="B226" t="s">
        <v>1568</v>
      </c>
    </row>
    <row r="227" spans="1:2" x14ac:dyDescent="0.25">
      <c r="A227" t="s">
        <v>759</v>
      </c>
      <c r="B227" t="s">
        <v>1569</v>
      </c>
    </row>
    <row r="228" spans="1:2" x14ac:dyDescent="0.25">
      <c r="A228" t="s">
        <v>760</v>
      </c>
      <c r="B228" t="s">
        <v>51</v>
      </c>
    </row>
    <row r="229" spans="1:2" x14ac:dyDescent="0.25">
      <c r="A229" t="s">
        <v>670</v>
      </c>
      <c r="B229" t="s">
        <v>1443</v>
      </c>
    </row>
    <row r="230" spans="1:2" x14ac:dyDescent="0.25">
      <c r="A230" t="s">
        <v>762</v>
      </c>
      <c r="B230" t="s">
        <v>191</v>
      </c>
    </row>
    <row r="231" spans="1:2" x14ac:dyDescent="0.25">
      <c r="A231" t="s">
        <v>763</v>
      </c>
      <c r="B231" t="s">
        <v>1570</v>
      </c>
    </row>
    <row r="232" spans="1:2" x14ac:dyDescent="0.25">
      <c r="A232" t="s">
        <v>764</v>
      </c>
      <c r="B232" t="s">
        <v>229</v>
      </c>
    </row>
    <row r="233" spans="1:2" x14ac:dyDescent="0.25">
      <c r="A233" t="s">
        <v>765</v>
      </c>
      <c r="B233" t="s">
        <v>1571</v>
      </c>
    </row>
    <row r="234" spans="1:2" x14ac:dyDescent="0.25">
      <c r="A234" t="s">
        <v>766</v>
      </c>
      <c r="B234" t="s">
        <v>1572</v>
      </c>
    </row>
    <row r="235" spans="1:2" x14ac:dyDescent="0.25">
      <c r="A235" t="s">
        <v>669</v>
      </c>
      <c r="B235" t="s">
        <v>161</v>
      </c>
    </row>
    <row r="236" spans="1:2" x14ac:dyDescent="0.25">
      <c r="A236" t="s">
        <v>768</v>
      </c>
      <c r="B236" t="s">
        <v>1573</v>
      </c>
    </row>
    <row r="237" spans="1:2" x14ac:dyDescent="0.25">
      <c r="A237" t="s">
        <v>769</v>
      </c>
      <c r="B237" t="s">
        <v>1574</v>
      </c>
    </row>
    <row r="238" spans="1:2" x14ac:dyDescent="0.25">
      <c r="A238" t="s">
        <v>769</v>
      </c>
      <c r="B238" t="s">
        <v>1574</v>
      </c>
    </row>
    <row r="239" spans="1:2" x14ac:dyDescent="0.25">
      <c r="A239" t="s">
        <v>770</v>
      </c>
      <c r="B239" t="s">
        <v>1575</v>
      </c>
    </row>
    <row r="240" spans="1:2" x14ac:dyDescent="0.25">
      <c r="A240" t="s">
        <v>771</v>
      </c>
      <c r="B240" t="s">
        <v>1576</v>
      </c>
    </row>
    <row r="241" spans="1:2" x14ac:dyDescent="0.25">
      <c r="A241" t="s">
        <v>667</v>
      </c>
      <c r="B241" t="s">
        <v>160</v>
      </c>
    </row>
    <row r="242" spans="1:2" x14ac:dyDescent="0.25">
      <c r="A242" t="s">
        <v>664</v>
      </c>
      <c r="B242" t="s">
        <v>159</v>
      </c>
    </row>
    <row r="243" spans="1:2" x14ac:dyDescent="0.25">
      <c r="A243" t="s">
        <v>662</v>
      </c>
      <c r="B243" t="s">
        <v>1444</v>
      </c>
    </row>
    <row r="244" spans="1:2" x14ac:dyDescent="0.25">
      <c r="A244" t="s">
        <v>775</v>
      </c>
      <c r="B244" t="s">
        <v>1577</v>
      </c>
    </row>
    <row r="245" spans="1:2" x14ac:dyDescent="0.25">
      <c r="A245" t="s">
        <v>661</v>
      </c>
      <c r="B245" t="s">
        <v>1445</v>
      </c>
    </row>
    <row r="246" spans="1:2" x14ac:dyDescent="0.25">
      <c r="A246" t="s">
        <v>777</v>
      </c>
      <c r="B246" t="s">
        <v>1578</v>
      </c>
    </row>
    <row r="247" spans="1:2" x14ac:dyDescent="0.25">
      <c r="A247" t="s">
        <v>654</v>
      </c>
      <c r="B247" t="s">
        <v>1446</v>
      </c>
    </row>
    <row r="248" spans="1:2" x14ac:dyDescent="0.25">
      <c r="A248" t="s">
        <v>779</v>
      </c>
      <c r="B248" t="s">
        <v>1579</v>
      </c>
    </row>
    <row r="249" spans="1:2" x14ac:dyDescent="0.25">
      <c r="A249" t="s">
        <v>653</v>
      </c>
      <c r="B249" t="s">
        <v>199</v>
      </c>
    </row>
    <row r="250" spans="1:2" x14ac:dyDescent="0.25">
      <c r="A250" t="s">
        <v>652</v>
      </c>
      <c r="B250" t="s">
        <v>1447</v>
      </c>
    </row>
    <row r="251" spans="1:2" x14ac:dyDescent="0.25">
      <c r="A251" t="s">
        <v>782</v>
      </c>
      <c r="B251" t="s">
        <v>1580</v>
      </c>
    </row>
    <row r="252" spans="1:2" x14ac:dyDescent="0.25">
      <c r="A252" t="s">
        <v>651</v>
      </c>
      <c r="B252" t="s">
        <v>1448</v>
      </c>
    </row>
    <row r="253" spans="1:2" x14ac:dyDescent="0.25">
      <c r="A253" t="s">
        <v>650</v>
      </c>
      <c r="B253" t="s">
        <v>1449</v>
      </c>
    </row>
    <row r="254" spans="1:2" x14ac:dyDescent="0.25">
      <c r="A254" t="s">
        <v>649</v>
      </c>
      <c r="B254" t="s">
        <v>1450</v>
      </c>
    </row>
    <row r="255" spans="1:2" x14ac:dyDescent="0.25">
      <c r="A255" t="s">
        <v>786</v>
      </c>
      <c r="B255" t="s">
        <v>1581</v>
      </c>
    </row>
    <row r="256" spans="1:2" x14ac:dyDescent="0.25">
      <c r="A256" t="s">
        <v>642</v>
      </c>
      <c r="B256" t="s">
        <v>1451</v>
      </c>
    </row>
    <row r="257" spans="1:2" x14ac:dyDescent="0.25">
      <c r="A257" t="s">
        <v>788</v>
      </c>
      <c r="B257" t="s">
        <v>78</v>
      </c>
    </row>
    <row r="258" spans="1:2" x14ac:dyDescent="0.25">
      <c r="A258" t="s">
        <v>640</v>
      </c>
      <c r="B258" t="s">
        <v>1452</v>
      </c>
    </row>
    <row r="259" spans="1:2" x14ac:dyDescent="0.25">
      <c r="A259" t="s">
        <v>639</v>
      </c>
      <c r="B259" t="s">
        <v>1453</v>
      </c>
    </row>
    <row r="260" spans="1:2" x14ac:dyDescent="0.25">
      <c r="A260" t="s">
        <v>638</v>
      </c>
      <c r="B260" t="s">
        <v>1454</v>
      </c>
    </row>
    <row r="261" spans="1:2" x14ac:dyDescent="0.25">
      <c r="A261" t="s">
        <v>792</v>
      </c>
      <c r="B261" t="s">
        <v>1582</v>
      </c>
    </row>
    <row r="262" spans="1:2" x14ac:dyDescent="0.25">
      <c r="A262" t="s">
        <v>634</v>
      </c>
      <c r="B262" t="s">
        <v>1455</v>
      </c>
    </row>
    <row r="263" spans="1:2" x14ac:dyDescent="0.25">
      <c r="A263" t="s">
        <v>794</v>
      </c>
      <c r="B263" t="s">
        <v>1583</v>
      </c>
    </row>
    <row r="264" spans="1:2" x14ac:dyDescent="0.25">
      <c r="A264" t="s">
        <v>633</v>
      </c>
      <c r="B264" t="s">
        <v>44</v>
      </c>
    </row>
    <row r="265" spans="1:2" x14ac:dyDescent="0.25">
      <c r="A265" t="s">
        <v>622</v>
      </c>
      <c r="B265" t="s">
        <v>158</v>
      </c>
    </row>
    <row r="266" spans="1:2" x14ac:dyDescent="0.25">
      <c r="A266" t="s">
        <v>797</v>
      </c>
      <c r="B266" t="s">
        <v>205</v>
      </c>
    </row>
    <row r="267" spans="1:2" x14ac:dyDescent="0.25">
      <c r="A267" t="s">
        <v>798</v>
      </c>
      <c r="B267" t="s">
        <v>1584</v>
      </c>
    </row>
    <row r="268" spans="1:2" x14ac:dyDescent="0.25">
      <c r="A268" t="s">
        <v>799</v>
      </c>
      <c r="B268" t="s">
        <v>183</v>
      </c>
    </row>
    <row r="269" spans="1:2" x14ac:dyDescent="0.25">
      <c r="A269" t="s">
        <v>800</v>
      </c>
      <c r="B269" t="s">
        <v>1585</v>
      </c>
    </row>
    <row r="270" spans="1:2" x14ac:dyDescent="0.25">
      <c r="A270" t="s">
        <v>620</v>
      </c>
      <c r="B270" t="s">
        <v>1456</v>
      </c>
    </row>
    <row r="271" spans="1:2" x14ac:dyDescent="0.25">
      <c r="A271" t="s">
        <v>802</v>
      </c>
      <c r="B271" t="s">
        <v>166</v>
      </c>
    </row>
    <row r="272" spans="1:2" x14ac:dyDescent="0.25">
      <c r="A272" t="s">
        <v>619</v>
      </c>
      <c r="B272" t="s">
        <v>1457</v>
      </c>
    </row>
    <row r="273" spans="1:2" x14ac:dyDescent="0.25">
      <c r="A273" t="s">
        <v>804</v>
      </c>
      <c r="B273" t="s">
        <v>167</v>
      </c>
    </row>
    <row r="274" spans="1:2" x14ac:dyDescent="0.25">
      <c r="A274" t="s">
        <v>805</v>
      </c>
      <c r="B274" t="s">
        <v>1586</v>
      </c>
    </row>
    <row r="275" spans="1:2" x14ac:dyDescent="0.25">
      <c r="A275" t="s">
        <v>806</v>
      </c>
      <c r="B275" t="s">
        <v>92</v>
      </c>
    </row>
    <row r="276" spans="1:2" x14ac:dyDescent="0.25">
      <c r="A276" t="s">
        <v>807</v>
      </c>
      <c r="B276" t="s">
        <v>1587</v>
      </c>
    </row>
    <row r="277" spans="1:2" x14ac:dyDescent="0.25">
      <c r="A277" t="s">
        <v>808</v>
      </c>
      <c r="B277" t="s">
        <v>1588</v>
      </c>
    </row>
    <row r="278" spans="1:2" x14ac:dyDescent="0.25">
      <c r="A278" t="s">
        <v>616</v>
      </c>
      <c r="B278" t="s">
        <v>157</v>
      </c>
    </row>
    <row r="279" spans="1:2" x14ac:dyDescent="0.25">
      <c r="A279" t="s">
        <v>613</v>
      </c>
      <c r="B279" t="s">
        <v>1458</v>
      </c>
    </row>
    <row r="280" spans="1:2" x14ac:dyDescent="0.25">
      <c r="A280" t="s">
        <v>612</v>
      </c>
      <c r="B280" t="s">
        <v>117</v>
      </c>
    </row>
    <row r="281" spans="1:2" x14ac:dyDescent="0.25">
      <c r="A281" t="s">
        <v>611</v>
      </c>
      <c r="B281" t="s">
        <v>1459</v>
      </c>
    </row>
    <row r="282" spans="1:2" x14ac:dyDescent="0.25">
      <c r="A282" t="s">
        <v>606</v>
      </c>
      <c r="B282" t="s">
        <v>1460</v>
      </c>
    </row>
    <row r="283" spans="1:2" x14ac:dyDescent="0.25">
      <c r="A283" t="s">
        <v>602</v>
      </c>
      <c r="B283" t="s">
        <v>1461</v>
      </c>
    </row>
    <row r="284" spans="1:2" x14ac:dyDescent="0.25">
      <c r="A284" t="s">
        <v>815</v>
      </c>
      <c r="B284" t="s">
        <v>1589</v>
      </c>
    </row>
    <row r="285" spans="1:2" x14ac:dyDescent="0.25">
      <c r="A285" t="s">
        <v>816</v>
      </c>
      <c r="B285" t="s">
        <v>60</v>
      </c>
    </row>
    <row r="286" spans="1:2" x14ac:dyDescent="0.25">
      <c r="A286" t="s">
        <v>600</v>
      </c>
      <c r="B286" t="s">
        <v>114</v>
      </c>
    </row>
    <row r="287" spans="1:2" x14ac:dyDescent="0.25">
      <c r="A287" t="s">
        <v>818</v>
      </c>
      <c r="B287" t="s">
        <v>59</v>
      </c>
    </row>
    <row r="288" spans="1:2" x14ac:dyDescent="0.25">
      <c r="A288" t="s">
        <v>819</v>
      </c>
      <c r="B288" t="s">
        <v>204</v>
      </c>
    </row>
    <row r="289" spans="1:2" x14ac:dyDescent="0.25">
      <c r="A289" t="s">
        <v>820</v>
      </c>
      <c r="B289" t="s">
        <v>232</v>
      </c>
    </row>
    <row r="290" spans="1:2" x14ac:dyDescent="0.25">
      <c r="A290" t="s">
        <v>821</v>
      </c>
      <c r="B290" t="s">
        <v>131</v>
      </c>
    </row>
    <row r="291" spans="1:2" x14ac:dyDescent="0.25">
      <c r="A291" t="s">
        <v>597</v>
      </c>
      <c r="B291" t="s">
        <v>1462</v>
      </c>
    </row>
    <row r="292" spans="1:2" x14ac:dyDescent="0.25">
      <c r="A292" t="s">
        <v>823</v>
      </c>
      <c r="B292" t="s">
        <v>1590</v>
      </c>
    </row>
    <row r="293" spans="1:2" x14ac:dyDescent="0.25">
      <c r="A293" t="s">
        <v>594</v>
      </c>
      <c r="B293" t="s">
        <v>1463</v>
      </c>
    </row>
    <row r="294" spans="1:2" x14ac:dyDescent="0.25">
      <c r="A294" t="s">
        <v>825</v>
      </c>
      <c r="B294" t="s">
        <v>1591</v>
      </c>
    </row>
    <row r="295" spans="1:2" x14ac:dyDescent="0.25">
      <c r="A295" t="s">
        <v>826</v>
      </c>
      <c r="B295" t="s">
        <v>1592</v>
      </c>
    </row>
    <row r="296" spans="1:2" x14ac:dyDescent="0.25">
      <c r="A296" t="s">
        <v>593</v>
      </c>
      <c r="B296" t="s">
        <v>111</v>
      </c>
    </row>
    <row r="297" spans="1:2" x14ac:dyDescent="0.25">
      <c r="A297" t="s">
        <v>592</v>
      </c>
      <c r="B297" t="s">
        <v>108</v>
      </c>
    </row>
    <row r="298" spans="1:2" x14ac:dyDescent="0.25">
      <c r="A298" t="s">
        <v>829</v>
      </c>
      <c r="B298" t="s">
        <v>168</v>
      </c>
    </row>
    <row r="299" spans="1:2" x14ac:dyDescent="0.25">
      <c r="A299" t="s">
        <v>588</v>
      </c>
      <c r="B299" t="s">
        <v>1464</v>
      </c>
    </row>
    <row r="300" spans="1:2" x14ac:dyDescent="0.25">
      <c r="A300" t="s">
        <v>587</v>
      </c>
      <c r="B300" t="s">
        <v>1465</v>
      </c>
    </row>
    <row r="301" spans="1:2" x14ac:dyDescent="0.25">
      <c r="A301" t="s">
        <v>582</v>
      </c>
      <c r="B301" t="s">
        <v>216</v>
      </c>
    </row>
    <row r="302" spans="1:2" x14ac:dyDescent="0.25">
      <c r="A302" t="s">
        <v>578</v>
      </c>
      <c r="B302" t="s">
        <v>1466</v>
      </c>
    </row>
    <row r="303" spans="1:2" x14ac:dyDescent="0.25">
      <c r="A303" t="s">
        <v>575</v>
      </c>
      <c r="B303" t="s">
        <v>1467</v>
      </c>
    </row>
    <row r="304" spans="1:2" x14ac:dyDescent="0.25">
      <c r="A304" t="s">
        <v>573</v>
      </c>
      <c r="B304" t="s">
        <v>1468</v>
      </c>
    </row>
    <row r="305" spans="1:2" x14ac:dyDescent="0.25">
      <c r="A305" t="s">
        <v>836</v>
      </c>
      <c r="B305" t="s">
        <v>184</v>
      </c>
    </row>
    <row r="306" spans="1:2" x14ac:dyDescent="0.25">
      <c r="A306" t="s">
        <v>571</v>
      </c>
      <c r="B306" t="s">
        <v>1469</v>
      </c>
    </row>
    <row r="307" spans="1:2" x14ac:dyDescent="0.25">
      <c r="A307" t="s">
        <v>569</v>
      </c>
      <c r="B307" t="s">
        <v>1470</v>
      </c>
    </row>
    <row r="308" spans="1:2" x14ac:dyDescent="0.25">
      <c r="A308" t="s">
        <v>566</v>
      </c>
      <c r="B308" t="s">
        <v>1471</v>
      </c>
    </row>
    <row r="309" spans="1:2" x14ac:dyDescent="0.25">
      <c r="A309" t="s">
        <v>840</v>
      </c>
      <c r="B309" t="s">
        <v>94</v>
      </c>
    </row>
    <row r="310" spans="1:2" x14ac:dyDescent="0.25">
      <c r="A310" t="s">
        <v>565</v>
      </c>
      <c r="B310" t="s">
        <v>1472</v>
      </c>
    </row>
    <row r="311" spans="1:2" x14ac:dyDescent="0.25">
      <c r="A311" t="s">
        <v>564</v>
      </c>
      <c r="B311" t="s">
        <v>1473</v>
      </c>
    </row>
    <row r="312" spans="1:2" x14ac:dyDescent="0.25">
      <c r="A312" t="s">
        <v>843</v>
      </c>
      <c r="B312" t="s">
        <v>198</v>
      </c>
    </row>
    <row r="313" spans="1:2" x14ac:dyDescent="0.25">
      <c r="A313" t="s">
        <v>844</v>
      </c>
      <c r="B313" t="s">
        <v>65</v>
      </c>
    </row>
    <row r="314" spans="1:2" x14ac:dyDescent="0.25">
      <c r="A314" t="s">
        <v>845</v>
      </c>
      <c r="B314" t="s">
        <v>169</v>
      </c>
    </row>
    <row r="315" spans="1:2" x14ac:dyDescent="0.25">
      <c r="A315" t="s">
        <v>557</v>
      </c>
      <c r="B315" t="s">
        <v>1474</v>
      </c>
    </row>
    <row r="316" spans="1:2" x14ac:dyDescent="0.25">
      <c r="A316" t="s">
        <v>847</v>
      </c>
      <c r="B316" t="s">
        <v>1593</v>
      </c>
    </row>
    <row r="317" spans="1:2" x14ac:dyDescent="0.25">
      <c r="A317" t="s">
        <v>848</v>
      </c>
      <c r="B317" t="s">
        <v>1594</v>
      </c>
    </row>
    <row r="318" spans="1:2" x14ac:dyDescent="0.25">
      <c r="A318" t="s">
        <v>849</v>
      </c>
      <c r="B318" t="s">
        <v>56</v>
      </c>
    </row>
    <row r="319" spans="1:2" x14ac:dyDescent="0.25">
      <c r="A319" t="s">
        <v>850</v>
      </c>
      <c r="B319" t="s">
        <v>54</v>
      </c>
    </row>
    <row r="320" spans="1:2" x14ac:dyDescent="0.25">
      <c r="A320" t="s">
        <v>851</v>
      </c>
      <c r="B320" t="s">
        <v>1595</v>
      </c>
    </row>
    <row r="321" spans="1:2" x14ac:dyDescent="0.25">
      <c r="A321" t="s">
        <v>852</v>
      </c>
      <c r="B321" t="s">
        <v>1596</v>
      </c>
    </row>
    <row r="322" spans="1:2" x14ac:dyDescent="0.25">
      <c r="A322" t="s">
        <v>852</v>
      </c>
      <c r="B322" t="s">
        <v>1596</v>
      </c>
    </row>
    <row r="323" spans="1:2" x14ac:dyDescent="0.25">
      <c r="A323" t="s">
        <v>555</v>
      </c>
      <c r="B323" t="s">
        <v>1475</v>
      </c>
    </row>
    <row r="324" spans="1:2" x14ac:dyDescent="0.25">
      <c r="A324" t="s">
        <v>554</v>
      </c>
      <c r="B324" t="s">
        <v>102</v>
      </c>
    </row>
    <row r="325" spans="1:2" x14ac:dyDescent="0.25">
      <c r="A325" t="s">
        <v>855</v>
      </c>
      <c r="B325" t="s">
        <v>45</v>
      </c>
    </row>
    <row r="326" spans="1:2" x14ac:dyDescent="0.25">
      <c r="A326" t="s">
        <v>856</v>
      </c>
      <c r="B326" t="s">
        <v>215</v>
      </c>
    </row>
    <row r="327" spans="1:2" x14ac:dyDescent="0.25">
      <c r="A327" t="s">
        <v>553</v>
      </c>
      <c r="B327" t="s">
        <v>1476</v>
      </c>
    </row>
    <row r="328" spans="1:2" x14ac:dyDescent="0.25">
      <c r="A328" t="s">
        <v>858</v>
      </c>
      <c r="B328" t="s">
        <v>1597</v>
      </c>
    </row>
    <row r="329" spans="1:2" x14ac:dyDescent="0.25">
      <c r="A329" t="s">
        <v>858</v>
      </c>
      <c r="B329" t="s">
        <v>1597</v>
      </c>
    </row>
    <row r="330" spans="1:2" x14ac:dyDescent="0.25">
      <c r="A330" t="s">
        <v>859</v>
      </c>
      <c r="B330" t="s">
        <v>97</v>
      </c>
    </row>
    <row r="331" spans="1:2" x14ac:dyDescent="0.25">
      <c r="A331" t="s">
        <v>860</v>
      </c>
      <c r="B331" t="s">
        <v>227</v>
      </c>
    </row>
    <row r="332" spans="1:2" x14ac:dyDescent="0.25">
      <c r="A332" t="s">
        <v>861</v>
      </c>
      <c r="B332" t="s">
        <v>1598</v>
      </c>
    </row>
    <row r="333" spans="1:2" x14ac:dyDescent="0.25">
      <c r="A333" t="s">
        <v>552</v>
      </c>
      <c r="B333" t="s">
        <v>1477</v>
      </c>
    </row>
    <row r="334" spans="1:2" x14ac:dyDescent="0.25">
      <c r="A334" t="s">
        <v>551</v>
      </c>
      <c r="B334" t="s">
        <v>1478</v>
      </c>
    </row>
    <row r="335" spans="1:2" x14ac:dyDescent="0.25">
      <c r="A335" t="s">
        <v>864</v>
      </c>
      <c r="B335" t="s">
        <v>185</v>
      </c>
    </row>
    <row r="336" spans="1:2" x14ac:dyDescent="0.25">
      <c r="A336" t="s">
        <v>549</v>
      </c>
      <c r="B336" t="s">
        <v>231</v>
      </c>
    </row>
    <row r="337" spans="1:3" x14ac:dyDescent="0.25">
      <c r="A337" t="s">
        <v>866</v>
      </c>
      <c r="B337" t="s">
        <v>1599</v>
      </c>
    </row>
    <row r="338" spans="1:3" x14ac:dyDescent="0.25">
      <c r="A338" t="s">
        <v>867</v>
      </c>
      <c r="B338" t="s">
        <v>1600</v>
      </c>
    </row>
    <row r="339" spans="1:3" x14ac:dyDescent="0.25">
      <c r="A339" t="s">
        <v>868</v>
      </c>
      <c r="B339" t="s">
        <v>79</v>
      </c>
    </row>
    <row r="340" spans="1:3" x14ac:dyDescent="0.25">
      <c r="A340" t="s">
        <v>546</v>
      </c>
      <c r="B340" t="s">
        <v>230</v>
      </c>
    </row>
    <row r="341" spans="1:3" x14ac:dyDescent="0.25">
      <c r="A341" t="s">
        <v>870</v>
      </c>
      <c r="B341" t="s">
        <v>55</v>
      </c>
    </row>
    <row r="342" spans="1:3" x14ac:dyDescent="0.25">
      <c r="A342" t="s">
        <v>871</v>
      </c>
      <c r="B342" t="s">
        <v>1601</v>
      </c>
    </row>
    <row r="343" spans="1:3" x14ac:dyDescent="0.25">
      <c r="A343" t="s">
        <v>872</v>
      </c>
      <c r="B343" t="s">
        <v>1602</v>
      </c>
    </row>
    <row r="344" spans="1:3" x14ac:dyDescent="0.25">
      <c r="A344" t="s">
        <v>873</v>
      </c>
      <c r="B344" t="s">
        <v>1603</v>
      </c>
    </row>
    <row r="345" spans="1:3" x14ac:dyDescent="0.25">
      <c r="A345" t="s">
        <v>544</v>
      </c>
      <c r="B345" t="s">
        <v>1479</v>
      </c>
    </row>
    <row r="346" spans="1:3" x14ac:dyDescent="0.25">
      <c r="A346" t="s">
        <v>540</v>
      </c>
      <c r="B346" t="s">
        <v>1480</v>
      </c>
    </row>
    <row r="347" spans="1:3" x14ac:dyDescent="0.25">
      <c r="A347" t="s">
        <v>876</v>
      </c>
      <c r="B347" t="s">
        <v>1604</v>
      </c>
    </row>
    <row r="348" spans="1:3" x14ac:dyDescent="0.25">
      <c r="A348" t="s">
        <v>539</v>
      </c>
      <c r="B348" t="s">
        <v>1481</v>
      </c>
    </row>
    <row r="349" spans="1:3" x14ac:dyDescent="0.25">
      <c r="A349" s="20" t="s">
        <v>1786</v>
      </c>
      <c r="B349" s="27" t="s">
        <v>1818</v>
      </c>
      <c r="C349" s="20"/>
    </row>
    <row r="350" spans="1:3" x14ac:dyDescent="0.25">
      <c r="A350" s="20" t="s">
        <v>1769</v>
      </c>
      <c r="B350" s="27" t="s">
        <v>1819</v>
      </c>
      <c r="C350" s="20"/>
    </row>
    <row r="351" spans="1:3" x14ac:dyDescent="0.25">
      <c r="A351" s="20" t="s">
        <v>1785</v>
      </c>
      <c r="B351" s="27" t="s">
        <v>1820</v>
      </c>
      <c r="C351" s="20"/>
    </row>
    <row r="352" spans="1:3" x14ac:dyDescent="0.25">
      <c r="A352" s="20" t="s">
        <v>1783</v>
      </c>
      <c r="B352" s="27" t="s">
        <v>1821</v>
      </c>
      <c r="C352" s="20"/>
    </row>
    <row r="353" spans="1:3" x14ac:dyDescent="0.25">
      <c r="A353" s="20" t="s">
        <v>1761</v>
      </c>
      <c r="B353" s="27" t="s">
        <v>1822</v>
      </c>
      <c r="C353" s="20"/>
    </row>
    <row r="354" spans="1:3" x14ac:dyDescent="0.25">
      <c r="A354" s="20" t="s">
        <v>1767</v>
      </c>
      <c r="B354" s="27" t="s">
        <v>1823</v>
      </c>
      <c r="C354" s="20"/>
    </row>
    <row r="355" spans="1:3" x14ac:dyDescent="0.25">
      <c r="A355" s="20" t="s">
        <v>1760</v>
      </c>
      <c r="B355" s="20" t="s">
        <v>1673</v>
      </c>
      <c r="C355" s="20"/>
    </row>
    <row r="356" spans="1:3" x14ac:dyDescent="0.25">
      <c r="A356" s="20" t="s">
        <v>1775</v>
      </c>
      <c r="B356" s="20" t="s">
        <v>1702</v>
      </c>
      <c r="C356" s="20"/>
    </row>
    <row r="357" spans="1:3" x14ac:dyDescent="0.25">
      <c r="A357" s="20" t="s">
        <v>1764</v>
      </c>
      <c r="B357" s="27" t="s">
        <v>1826</v>
      </c>
      <c r="C357" s="20"/>
    </row>
    <row r="358" spans="1:3" x14ac:dyDescent="0.25">
      <c r="A358" s="20" t="s">
        <v>1801</v>
      </c>
      <c r="B358" s="27" t="s">
        <v>1824</v>
      </c>
      <c r="C358" s="20"/>
    </row>
    <row r="359" spans="1:3" x14ac:dyDescent="0.25">
      <c r="A359" s="20" t="s">
        <v>1770</v>
      </c>
      <c r="B359" s="27" t="s">
        <v>1825</v>
      </c>
      <c r="C359" s="20"/>
    </row>
    <row r="360" spans="1:3" x14ac:dyDescent="0.25">
      <c r="A360" s="20" t="s">
        <v>1774</v>
      </c>
      <c r="B360" s="27" t="s">
        <v>1827</v>
      </c>
      <c r="C360" s="20"/>
    </row>
    <row r="361" spans="1:3" x14ac:dyDescent="0.25">
      <c r="A361" s="25" t="s">
        <v>1878</v>
      </c>
      <c r="B361" s="28" t="s">
        <v>1852</v>
      </c>
      <c r="C361" s="20"/>
    </row>
    <row r="362" spans="1:3" x14ac:dyDescent="0.25">
      <c r="A362" s="25" t="s">
        <v>1874</v>
      </c>
      <c r="B362" s="29" t="s">
        <v>1853</v>
      </c>
      <c r="C362" s="20"/>
    </row>
    <row r="363" spans="1:3" x14ac:dyDescent="0.25">
      <c r="A363" s="20" t="s">
        <v>1766</v>
      </c>
      <c r="B363" s="30" t="s">
        <v>1879</v>
      </c>
      <c r="C363" s="20"/>
    </row>
    <row r="364" spans="1:3" x14ac:dyDescent="0.25">
      <c r="A364" s="20" t="s">
        <v>2568</v>
      </c>
      <c r="B364" s="20" t="s">
        <v>2774</v>
      </c>
      <c r="C364" s="20"/>
    </row>
    <row r="365" spans="1:3" x14ac:dyDescent="0.25">
      <c r="A365" t="s">
        <v>2569</v>
      </c>
      <c r="B365" t="s">
        <v>2775</v>
      </c>
    </row>
    <row r="366" spans="1:3" x14ac:dyDescent="0.25">
      <c r="A366" t="s">
        <v>2570</v>
      </c>
      <c r="B366" t="s">
        <v>2776</v>
      </c>
    </row>
    <row r="367" spans="1:3" x14ac:dyDescent="0.25">
      <c r="A367" t="s">
        <v>2571</v>
      </c>
      <c r="B367" t="s">
        <v>2777</v>
      </c>
    </row>
    <row r="368" spans="1:3" x14ac:dyDescent="0.25">
      <c r="A368" t="s">
        <v>2572</v>
      </c>
      <c r="B368" t="s">
        <v>2778</v>
      </c>
    </row>
    <row r="369" spans="1:2" x14ac:dyDescent="0.25">
      <c r="A369" t="s">
        <v>2573</v>
      </c>
      <c r="B369" t="s">
        <v>2779</v>
      </c>
    </row>
    <row r="370" spans="1:2" x14ac:dyDescent="0.25">
      <c r="A370" t="s">
        <v>2574</v>
      </c>
      <c r="B370" t="s">
        <v>2780</v>
      </c>
    </row>
    <row r="371" spans="1:2" x14ac:dyDescent="0.25">
      <c r="A371" t="s">
        <v>2575</v>
      </c>
      <c r="B371" t="s">
        <v>2781</v>
      </c>
    </row>
    <row r="372" spans="1:2" x14ac:dyDescent="0.25">
      <c r="A372" t="s">
        <v>2576</v>
      </c>
      <c r="B372" t="s">
        <v>2782</v>
      </c>
    </row>
    <row r="373" spans="1:2" x14ac:dyDescent="0.25">
      <c r="A373" t="s">
        <v>2577</v>
      </c>
      <c r="B373" t="s">
        <v>2783</v>
      </c>
    </row>
    <row r="374" spans="1:2" x14ac:dyDescent="0.25">
      <c r="A374" t="s">
        <v>2578</v>
      </c>
      <c r="B374" t="s">
        <v>2784</v>
      </c>
    </row>
    <row r="375" spans="1:2" x14ac:dyDescent="0.25">
      <c r="A375" t="s">
        <v>2579</v>
      </c>
      <c r="B375" t="s">
        <v>2785</v>
      </c>
    </row>
    <row r="376" spans="1:2" x14ac:dyDescent="0.25">
      <c r="A376" t="s">
        <v>2580</v>
      </c>
      <c r="B376" t="s">
        <v>2786</v>
      </c>
    </row>
    <row r="377" spans="1:2" x14ac:dyDescent="0.25">
      <c r="A377" t="s">
        <v>2581</v>
      </c>
      <c r="B377" t="s">
        <v>2787</v>
      </c>
    </row>
    <row r="378" spans="1:2" x14ac:dyDescent="0.25">
      <c r="A378" t="s">
        <v>2582</v>
      </c>
      <c r="B378" t="s">
        <v>2788</v>
      </c>
    </row>
    <row r="379" spans="1:2" x14ac:dyDescent="0.25">
      <c r="A379" t="s">
        <v>2583</v>
      </c>
      <c r="B379" t="s">
        <v>2789</v>
      </c>
    </row>
    <row r="380" spans="1:2" x14ac:dyDescent="0.25">
      <c r="A380" t="s">
        <v>2584</v>
      </c>
      <c r="B380" t="s">
        <v>2790</v>
      </c>
    </row>
    <row r="381" spans="1:2" x14ac:dyDescent="0.25">
      <c r="A381" t="s">
        <v>2585</v>
      </c>
      <c r="B381" t="s">
        <v>2791</v>
      </c>
    </row>
    <row r="382" spans="1:2" x14ac:dyDescent="0.25">
      <c r="A382" t="s">
        <v>2586</v>
      </c>
      <c r="B382" t="s">
        <v>2792</v>
      </c>
    </row>
    <row r="383" spans="1:2" x14ac:dyDescent="0.25">
      <c r="A383" t="s">
        <v>2587</v>
      </c>
      <c r="B383" t="s">
        <v>2793</v>
      </c>
    </row>
    <row r="384" spans="1:2" x14ac:dyDescent="0.25">
      <c r="A384" t="s">
        <v>2588</v>
      </c>
      <c r="B384" t="s">
        <v>2794</v>
      </c>
    </row>
    <row r="385" spans="1:2" x14ac:dyDescent="0.25">
      <c r="A385" t="s">
        <v>2589</v>
      </c>
      <c r="B385" t="s">
        <v>2795</v>
      </c>
    </row>
    <row r="386" spans="1:2" x14ac:dyDescent="0.25">
      <c r="A386" t="s">
        <v>2590</v>
      </c>
      <c r="B386" t="s">
        <v>2796</v>
      </c>
    </row>
    <row r="387" spans="1:2" x14ac:dyDescent="0.25">
      <c r="A387" t="s">
        <v>2591</v>
      </c>
      <c r="B387" t="s">
        <v>2797</v>
      </c>
    </row>
    <row r="388" spans="1:2" x14ac:dyDescent="0.25">
      <c r="A388" t="s">
        <v>2592</v>
      </c>
      <c r="B388" t="s">
        <v>2798</v>
      </c>
    </row>
    <row r="389" spans="1:2" x14ac:dyDescent="0.25">
      <c r="A389" t="s">
        <v>2593</v>
      </c>
      <c r="B389" t="s">
        <v>2799</v>
      </c>
    </row>
    <row r="390" spans="1:2" x14ac:dyDescent="0.25">
      <c r="A390" t="s">
        <v>2594</v>
      </c>
      <c r="B390" t="s">
        <v>2800</v>
      </c>
    </row>
    <row r="391" spans="1:2" x14ac:dyDescent="0.25">
      <c r="A391" t="s">
        <v>2595</v>
      </c>
      <c r="B391" t="s">
        <v>2801</v>
      </c>
    </row>
    <row r="392" spans="1:2" x14ac:dyDescent="0.25">
      <c r="A392" t="s">
        <v>2596</v>
      </c>
      <c r="B392" t="s">
        <v>2802</v>
      </c>
    </row>
    <row r="393" spans="1:2" x14ac:dyDescent="0.25">
      <c r="A393" t="s">
        <v>2597</v>
      </c>
      <c r="B393" t="s">
        <v>2803</v>
      </c>
    </row>
    <row r="394" spans="1:2" x14ac:dyDescent="0.25">
      <c r="A394" t="s">
        <v>2598</v>
      </c>
      <c r="B394" t="s">
        <v>2804</v>
      </c>
    </row>
    <row r="395" spans="1:2" x14ac:dyDescent="0.25">
      <c r="A395" t="s">
        <v>2599</v>
      </c>
      <c r="B395" t="s">
        <v>2805</v>
      </c>
    </row>
    <row r="396" spans="1:2" x14ac:dyDescent="0.25">
      <c r="A396" t="s">
        <v>2600</v>
      </c>
      <c r="B396" t="s">
        <v>2806</v>
      </c>
    </row>
    <row r="397" spans="1:2" x14ac:dyDescent="0.25">
      <c r="A397" t="s">
        <v>2601</v>
      </c>
      <c r="B397" t="s">
        <v>2807</v>
      </c>
    </row>
    <row r="398" spans="1:2" x14ac:dyDescent="0.25">
      <c r="A398" t="s">
        <v>2602</v>
      </c>
      <c r="B398" t="s">
        <v>2808</v>
      </c>
    </row>
    <row r="399" spans="1:2" x14ac:dyDescent="0.25">
      <c r="A399" t="s">
        <v>2603</v>
      </c>
      <c r="B399" t="s">
        <v>2809</v>
      </c>
    </row>
    <row r="400" spans="1:2" x14ac:dyDescent="0.25">
      <c r="A400" t="s">
        <v>2604</v>
      </c>
      <c r="B400" t="s">
        <v>2810</v>
      </c>
    </row>
    <row r="401" spans="1:2" x14ac:dyDescent="0.25">
      <c r="A401" t="s">
        <v>2605</v>
      </c>
      <c r="B401" t="s">
        <v>2811</v>
      </c>
    </row>
    <row r="402" spans="1:2" x14ac:dyDescent="0.25">
      <c r="A402" t="s">
        <v>2606</v>
      </c>
      <c r="B402" t="s">
        <v>2812</v>
      </c>
    </row>
    <row r="403" spans="1:2" x14ac:dyDescent="0.25">
      <c r="A403" t="s">
        <v>2607</v>
      </c>
      <c r="B403" t="s">
        <v>2813</v>
      </c>
    </row>
    <row r="404" spans="1:2" x14ac:dyDescent="0.25">
      <c r="A404" t="s">
        <v>2608</v>
      </c>
      <c r="B404" t="s">
        <v>2814</v>
      </c>
    </row>
    <row r="405" spans="1:2" x14ac:dyDescent="0.25">
      <c r="A405" t="s">
        <v>2609</v>
      </c>
      <c r="B405" t="s">
        <v>2815</v>
      </c>
    </row>
    <row r="406" spans="1:2" x14ac:dyDescent="0.25">
      <c r="A406" t="s">
        <v>2610</v>
      </c>
      <c r="B406" t="s">
        <v>2816</v>
      </c>
    </row>
    <row r="407" spans="1:2" x14ac:dyDescent="0.25">
      <c r="A407" t="s">
        <v>2611</v>
      </c>
      <c r="B407" t="s">
        <v>2817</v>
      </c>
    </row>
    <row r="408" spans="1:2" x14ac:dyDescent="0.25">
      <c r="A408" t="s">
        <v>2612</v>
      </c>
      <c r="B408" t="s">
        <v>2818</v>
      </c>
    </row>
    <row r="409" spans="1:2" x14ac:dyDescent="0.25">
      <c r="A409" t="s">
        <v>2613</v>
      </c>
      <c r="B409" t="s">
        <v>2819</v>
      </c>
    </row>
    <row r="410" spans="1:2" x14ac:dyDescent="0.25">
      <c r="A410" t="s">
        <v>2614</v>
      </c>
      <c r="B410" t="s">
        <v>2820</v>
      </c>
    </row>
    <row r="411" spans="1:2" x14ac:dyDescent="0.25">
      <c r="A411" t="s">
        <v>2615</v>
      </c>
      <c r="B411" t="s">
        <v>2821</v>
      </c>
    </row>
    <row r="412" spans="1:2" x14ac:dyDescent="0.25">
      <c r="A412" t="s">
        <v>2616</v>
      </c>
      <c r="B412" t="s">
        <v>2822</v>
      </c>
    </row>
    <row r="413" spans="1:2" x14ac:dyDescent="0.25">
      <c r="A413" t="s">
        <v>2617</v>
      </c>
      <c r="B413" t="s">
        <v>2823</v>
      </c>
    </row>
    <row r="414" spans="1:2" x14ac:dyDescent="0.25">
      <c r="A414" t="s">
        <v>2618</v>
      </c>
      <c r="B414" t="s">
        <v>2824</v>
      </c>
    </row>
    <row r="415" spans="1:2" x14ac:dyDescent="0.25">
      <c r="A415" t="s">
        <v>2619</v>
      </c>
      <c r="B415" t="s">
        <v>2825</v>
      </c>
    </row>
    <row r="416" spans="1:2" x14ac:dyDescent="0.25">
      <c r="A416" t="s">
        <v>2620</v>
      </c>
      <c r="B416" t="s">
        <v>2826</v>
      </c>
    </row>
    <row r="417" spans="1:2" x14ac:dyDescent="0.25">
      <c r="A417" t="s">
        <v>2621</v>
      </c>
      <c r="B417" t="s">
        <v>2827</v>
      </c>
    </row>
    <row r="418" spans="1:2" x14ac:dyDescent="0.25">
      <c r="A418" t="s">
        <v>2622</v>
      </c>
      <c r="B418" t="s">
        <v>2828</v>
      </c>
    </row>
    <row r="419" spans="1:2" x14ac:dyDescent="0.25">
      <c r="A419" t="s">
        <v>2623</v>
      </c>
      <c r="B419" t="s">
        <v>2829</v>
      </c>
    </row>
    <row r="420" spans="1:2" x14ac:dyDescent="0.25">
      <c r="A420" t="s">
        <v>2624</v>
      </c>
      <c r="B420" t="s">
        <v>2830</v>
      </c>
    </row>
    <row r="421" spans="1:2" x14ac:dyDescent="0.25">
      <c r="A421" t="s">
        <v>2625</v>
      </c>
      <c r="B421" t="s">
        <v>2831</v>
      </c>
    </row>
    <row r="422" spans="1:2" x14ac:dyDescent="0.25">
      <c r="A422" t="s">
        <v>2626</v>
      </c>
      <c r="B422" t="s">
        <v>2832</v>
      </c>
    </row>
    <row r="423" spans="1:2" x14ac:dyDescent="0.25">
      <c r="A423" t="s">
        <v>2627</v>
      </c>
      <c r="B423" t="s">
        <v>2833</v>
      </c>
    </row>
    <row r="424" spans="1:2" x14ac:dyDescent="0.25">
      <c r="A424" t="s">
        <v>2628</v>
      </c>
      <c r="B424" t="s">
        <v>2834</v>
      </c>
    </row>
    <row r="425" spans="1:2" x14ac:dyDescent="0.25">
      <c r="A425" t="s">
        <v>2629</v>
      </c>
      <c r="B425" t="s">
        <v>2835</v>
      </c>
    </row>
    <row r="426" spans="1:2" x14ac:dyDescent="0.25">
      <c r="A426" t="s">
        <v>2630</v>
      </c>
      <c r="B426" t="s">
        <v>2836</v>
      </c>
    </row>
    <row r="427" spans="1:2" x14ac:dyDescent="0.25">
      <c r="A427" t="s">
        <v>2631</v>
      </c>
      <c r="B427" t="s">
        <v>2837</v>
      </c>
    </row>
    <row r="428" spans="1:2" x14ac:dyDescent="0.25">
      <c r="A428" t="s">
        <v>2632</v>
      </c>
      <c r="B428" t="s">
        <v>2838</v>
      </c>
    </row>
    <row r="429" spans="1:2" x14ac:dyDescent="0.25">
      <c r="A429" t="s">
        <v>2633</v>
      </c>
      <c r="B429" t="s">
        <v>2839</v>
      </c>
    </row>
    <row r="430" spans="1:2" x14ac:dyDescent="0.25">
      <c r="A430" t="s">
        <v>2634</v>
      </c>
      <c r="B430" t="s">
        <v>2840</v>
      </c>
    </row>
    <row r="431" spans="1:2" x14ac:dyDescent="0.25">
      <c r="A431" t="s">
        <v>2635</v>
      </c>
      <c r="B431" t="s">
        <v>2841</v>
      </c>
    </row>
    <row r="432" spans="1:2" x14ac:dyDescent="0.25">
      <c r="A432" t="s">
        <v>2636</v>
      </c>
      <c r="B432" t="s">
        <v>2842</v>
      </c>
    </row>
    <row r="433" spans="1:2" x14ac:dyDescent="0.25">
      <c r="A433" t="s">
        <v>2637</v>
      </c>
      <c r="B433" t="s">
        <v>2843</v>
      </c>
    </row>
    <row r="434" spans="1:2" x14ac:dyDescent="0.25">
      <c r="A434" t="s">
        <v>2638</v>
      </c>
      <c r="B434" t="s">
        <v>2844</v>
      </c>
    </row>
    <row r="435" spans="1:2" x14ac:dyDescent="0.25">
      <c r="A435" t="s">
        <v>2639</v>
      </c>
      <c r="B435" t="s">
        <v>2845</v>
      </c>
    </row>
    <row r="436" spans="1:2" x14ac:dyDescent="0.25">
      <c r="A436" t="s">
        <v>2640</v>
      </c>
      <c r="B436" t="s">
        <v>2846</v>
      </c>
    </row>
    <row r="437" spans="1:2" x14ac:dyDescent="0.25">
      <c r="A437" t="s">
        <v>2641</v>
      </c>
      <c r="B437" t="s">
        <v>2847</v>
      </c>
    </row>
    <row r="438" spans="1:2" x14ac:dyDescent="0.25">
      <c r="A438" t="s">
        <v>2642</v>
      </c>
      <c r="B438" t="s">
        <v>2848</v>
      </c>
    </row>
    <row r="439" spans="1:2" x14ac:dyDescent="0.25">
      <c r="A439" t="s">
        <v>2643</v>
      </c>
      <c r="B439" t="s">
        <v>2849</v>
      </c>
    </row>
    <row r="440" spans="1:2" x14ac:dyDescent="0.25">
      <c r="A440" t="s">
        <v>2644</v>
      </c>
      <c r="B440" t="s">
        <v>2850</v>
      </c>
    </row>
    <row r="441" spans="1:2" x14ac:dyDescent="0.25">
      <c r="A441" t="s">
        <v>2645</v>
      </c>
      <c r="B441" t="s">
        <v>2851</v>
      </c>
    </row>
    <row r="442" spans="1:2" x14ac:dyDescent="0.25">
      <c r="A442" t="s">
        <v>2646</v>
      </c>
      <c r="B442" t="s">
        <v>2852</v>
      </c>
    </row>
    <row r="443" spans="1:2" x14ac:dyDescent="0.25">
      <c r="A443" t="s">
        <v>2647</v>
      </c>
      <c r="B443" t="s">
        <v>2853</v>
      </c>
    </row>
    <row r="444" spans="1:2" x14ac:dyDescent="0.25">
      <c r="A444" t="s">
        <v>2648</v>
      </c>
      <c r="B444" t="s">
        <v>2854</v>
      </c>
    </row>
    <row r="445" spans="1:2" x14ac:dyDescent="0.25">
      <c r="A445" t="s">
        <v>2649</v>
      </c>
      <c r="B445" t="s">
        <v>2855</v>
      </c>
    </row>
    <row r="446" spans="1:2" x14ac:dyDescent="0.25">
      <c r="A446" t="s">
        <v>2650</v>
      </c>
      <c r="B446" t="s">
        <v>2856</v>
      </c>
    </row>
    <row r="447" spans="1:2" x14ac:dyDescent="0.25">
      <c r="A447" t="s">
        <v>2651</v>
      </c>
      <c r="B447" t="s">
        <v>2857</v>
      </c>
    </row>
    <row r="448" spans="1:2" x14ac:dyDescent="0.25">
      <c r="A448" t="s">
        <v>2652</v>
      </c>
      <c r="B448" t="s">
        <v>2858</v>
      </c>
    </row>
    <row r="449" spans="1:2" x14ac:dyDescent="0.25">
      <c r="A449" t="s">
        <v>2653</v>
      </c>
      <c r="B449" t="s">
        <v>2859</v>
      </c>
    </row>
    <row r="450" spans="1:2" x14ac:dyDescent="0.25">
      <c r="A450" t="s">
        <v>2654</v>
      </c>
      <c r="B450" t="s">
        <v>2860</v>
      </c>
    </row>
    <row r="451" spans="1:2" x14ac:dyDescent="0.25">
      <c r="A451" t="s">
        <v>2655</v>
      </c>
      <c r="B451" t="s">
        <v>2861</v>
      </c>
    </row>
    <row r="452" spans="1:2" x14ac:dyDescent="0.25">
      <c r="A452" t="s">
        <v>2656</v>
      </c>
      <c r="B452" t="s">
        <v>2862</v>
      </c>
    </row>
    <row r="453" spans="1:2" x14ac:dyDescent="0.25">
      <c r="A453" t="s">
        <v>2657</v>
      </c>
      <c r="B453" t="s">
        <v>2863</v>
      </c>
    </row>
    <row r="454" spans="1:2" x14ac:dyDescent="0.25">
      <c r="A454" t="s">
        <v>2658</v>
      </c>
      <c r="B454" t="s">
        <v>2864</v>
      </c>
    </row>
    <row r="455" spans="1:2" x14ac:dyDescent="0.25">
      <c r="A455" t="s">
        <v>2659</v>
      </c>
      <c r="B455" t="s">
        <v>2865</v>
      </c>
    </row>
    <row r="456" spans="1:2" x14ac:dyDescent="0.25">
      <c r="A456" t="s">
        <v>2660</v>
      </c>
      <c r="B456" t="s">
        <v>2866</v>
      </c>
    </row>
    <row r="457" spans="1:2" x14ac:dyDescent="0.25">
      <c r="A457" t="s">
        <v>2661</v>
      </c>
      <c r="B457" t="s">
        <v>2867</v>
      </c>
    </row>
    <row r="458" spans="1:2" x14ac:dyDescent="0.25">
      <c r="A458" t="s">
        <v>2662</v>
      </c>
      <c r="B458" t="s">
        <v>2868</v>
      </c>
    </row>
    <row r="459" spans="1:2" x14ac:dyDescent="0.25">
      <c r="A459" t="s">
        <v>2663</v>
      </c>
      <c r="B459" t="s">
        <v>2869</v>
      </c>
    </row>
    <row r="460" spans="1:2" x14ac:dyDescent="0.25">
      <c r="A460" t="s">
        <v>2664</v>
      </c>
      <c r="B460" t="s">
        <v>2870</v>
      </c>
    </row>
    <row r="461" spans="1:2" x14ac:dyDescent="0.25">
      <c r="A461" t="s">
        <v>2665</v>
      </c>
      <c r="B461" t="s">
        <v>2871</v>
      </c>
    </row>
    <row r="462" spans="1:2" x14ac:dyDescent="0.25">
      <c r="A462" t="s">
        <v>2666</v>
      </c>
      <c r="B462" t="s">
        <v>2872</v>
      </c>
    </row>
    <row r="463" spans="1:2" x14ac:dyDescent="0.25">
      <c r="A463" t="s">
        <v>2667</v>
      </c>
      <c r="B463" t="s">
        <v>2873</v>
      </c>
    </row>
    <row r="464" spans="1:2" x14ac:dyDescent="0.25">
      <c r="A464" t="s">
        <v>2668</v>
      </c>
      <c r="B464" t="s">
        <v>2874</v>
      </c>
    </row>
    <row r="465" spans="1:2" x14ac:dyDescent="0.25">
      <c r="A465" t="s">
        <v>2669</v>
      </c>
      <c r="B465" t="s">
        <v>2875</v>
      </c>
    </row>
    <row r="466" spans="1:2" x14ac:dyDescent="0.25">
      <c r="A466" t="s">
        <v>2670</v>
      </c>
      <c r="B466" t="s">
        <v>2876</v>
      </c>
    </row>
    <row r="467" spans="1:2" x14ac:dyDescent="0.25">
      <c r="A467" t="s">
        <v>2671</v>
      </c>
      <c r="B467" t="s">
        <v>2877</v>
      </c>
    </row>
    <row r="468" spans="1:2" x14ac:dyDescent="0.25">
      <c r="A468" t="s">
        <v>2672</v>
      </c>
      <c r="B468" t="s">
        <v>2878</v>
      </c>
    </row>
    <row r="469" spans="1:2" x14ac:dyDescent="0.25">
      <c r="A469" t="s">
        <v>2673</v>
      </c>
      <c r="B469" t="s">
        <v>2879</v>
      </c>
    </row>
    <row r="470" spans="1:2" x14ac:dyDescent="0.25">
      <c r="A470" t="s">
        <v>2674</v>
      </c>
      <c r="B470" t="s">
        <v>2880</v>
      </c>
    </row>
    <row r="471" spans="1:2" x14ac:dyDescent="0.25">
      <c r="A471" t="s">
        <v>2675</v>
      </c>
      <c r="B471" t="s">
        <v>2881</v>
      </c>
    </row>
    <row r="472" spans="1:2" x14ac:dyDescent="0.25">
      <c r="A472" t="s">
        <v>2676</v>
      </c>
      <c r="B472" t="s">
        <v>2882</v>
      </c>
    </row>
    <row r="473" spans="1:2" x14ac:dyDescent="0.25">
      <c r="A473" t="s">
        <v>2677</v>
      </c>
      <c r="B473" t="s">
        <v>2883</v>
      </c>
    </row>
    <row r="474" spans="1:2" x14ac:dyDescent="0.25">
      <c r="A474" t="s">
        <v>2678</v>
      </c>
      <c r="B474" t="s">
        <v>2884</v>
      </c>
    </row>
    <row r="475" spans="1:2" x14ac:dyDescent="0.25">
      <c r="A475" t="s">
        <v>2679</v>
      </c>
      <c r="B475" t="s">
        <v>2885</v>
      </c>
    </row>
    <row r="476" spans="1:2" x14ac:dyDescent="0.25">
      <c r="A476" t="s">
        <v>2680</v>
      </c>
      <c r="B476" t="s">
        <v>2886</v>
      </c>
    </row>
    <row r="477" spans="1:2" x14ac:dyDescent="0.25">
      <c r="A477" t="s">
        <v>2681</v>
      </c>
      <c r="B477" t="s">
        <v>2887</v>
      </c>
    </row>
    <row r="478" spans="1:2" x14ac:dyDescent="0.25">
      <c r="A478" t="s">
        <v>2682</v>
      </c>
      <c r="B478" t="s">
        <v>2888</v>
      </c>
    </row>
    <row r="479" spans="1:2" x14ac:dyDescent="0.25">
      <c r="A479" t="s">
        <v>2683</v>
      </c>
      <c r="B479" t="s">
        <v>2889</v>
      </c>
    </row>
    <row r="480" spans="1:2" x14ac:dyDescent="0.25">
      <c r="A480" t="s">
        <v>2684</v>
      </c>
      <c r="B480" t="s">
        <v>2890</v>
      </c>
    </row>
    <row r="481" spans="1:2" x14ac:dyDescent="0.25">
      <c r="A481" t="s">
        <v>2685</v>
      </c>
      <c r="B481" t="s">
        <v>2891</v>
      </c>
    </row>
    <row r="482" spans="1:2" x14ac:dyDescent="0.25">
      <c r="A482" t="s">
        <v>2686</v>
      </c>
      <c r="B482" t="s">
        <v>2892</v>
      </c>
    </row>
    <row r="483" spans="1:2" x14ac:dyDescent="0.25">
      <c r="A483" t="s">
        <v>2687</v>
      </c>
      <c r="B483" t="s">
        <v>2893</v>
      </c>
    </row>
    <row r="484" spans="1:2" x14ac:dyDescent="0.25">
      <c r="A484" t="s">
        <v>2688</v>
      </c>
      <c r="B484" t="s">
        <v>2894</v>
      </c>
    </row>
    <row r="485" spans="1:2" x14ac:dyDescent="0.25">
      <c r="A485" t="s">
        <v>2689</v>
      </c>
      <c r="B485" t="s">
        <v>2895</v>
      </c>
    </row>
    <row r="486" spans="1:2" x14ac:dyDescent="0.25">
      <c r="A486" t="s">
        <v>2690</v>
      </c>
      <c r="B486" t="s">
        <v>2896</v>
      </c>
    </row>
    <row r="487" spans="1:2" x14ac:dyDescent="0.25">
      <c r="A487" t="s">
        <v>2691</v>
      </c>
      <c r="B487" t="s">
        <v>2897</v>
      </c>
    </row>
    <row r="488" spans="1:2" x14ac:dyDescent="0.25">
      <c r="A488" t="s">
        <v>2692</v>
      </c>
      <c r="B488" t="s">
        <v>2898</v>
      </c>
    </row>
    <row r="489" spans="1:2" x14ac:dyDescent="0.25">
      <c r="A489" t="s">
        <v>2693</v>
      </c>
      <c r="B489" t="s">
        <v>2899</v>
      </c>
    </row>
    <row r="490" spans="1:2" x14ac:dyDescent="0.25">
      <c r="A490" t="s">
        <v>2694</v>
      </c>
      <c r="B490" t="s">
        <v>2900</v>
      </c>
    </row>
    <row r="491" spans="1:2" x14ac:dyDescent="0.25">
      <c r="A491" t="s">
        <v>2695</v>
      </c>
      <c r="B491" t="s">
        <v>2901</v>
      </c>
    </row>
    <row r="492" spans="1:2" x14ac:dyDescent="0.25">
      <c r="A492" t="s">
        <v>2696</v>
      </c>
      <c r="B492" t="s">
        <v>2902</v>
      </c>
    </row>
    <row r="493" spans="1:2" x14ac:dyDescent="0.25">
      <c r="A493" t="s">
        <v>2697</v>
      </c>
      <c r="B493" t="s">
        <v>2903</v>
      </c>
    </row>
    <row r="494" spans="1:2" x14ac:dyDescent="0.25">
      <c r="A494" t="s">
        <v>2698</v>
      </c>
      <c r="B494" t="s">
        <v>2904</v>
      </c>
    </row>
    <row r="495" spans="1:2" x14ac:dyDescent="0.25">
      <c r="A495" t="s">
        <v>2699</v>
      </c>
      <c r="B495" t="s">
        <v>2905</v>
      </c>
    </row>
    <row r="496" spans="1:2" x14ac:dyDescent="0.25">
      <c r="A496" t="s">
        <v>2700</v>
      </c>
      <c r="B496" t="s">
        <v>2906</v>
      </c>
    </row>
    <row r="497" spans="1:2" x14ac:dyDescent="0.25">
      <c r="A497" t="s">
        <v>2701</v>
      </c>
      <c r="B497" t="s">
        <v>2907</v>
      </c>
    </row>
    <row r="498" spans="1:2" x14ac:dyDescent="0.25">
      <c r="A498" t="s">
        <v>2702</v>
      </c>
      <c r="B498" t="s">
        <v>2908</v>
      </c>
    </row>
    <row r="499" spans="1:2" x14ac:dyDescent="0.25">
      <c r="A499" t="s">
        <v>786</v>
      </c>
      <c r="B499" t="s">
        <v>2909</v>
      </c>
    </row>
    <row r="500" spans="1:2" x14ac:dyDescent="0.25">
      <c r="A500" t="s">
        <v>2703</v>
      </c>
      <c r="B500" t="s">
        <v>2910</v>
      </c>
    </row>
    <row r="501" spans="1:2" x14ac:dyDescent="0.25">
      <c r="A501" t="s">
        <v>2704</v>
      </c>
      <c r="B501" t="s">
        <v>2911</v>
      </c>
    </row>
    <row r="502" spans="1:2" x14ac:dyDescent="0.25">
      <c r="A502" t="s">
        <v>2705</v>
      </c>
      <c r="B502" t="s">
        <v>2912</v>
      </c>
    </row>
    <row r="503" spans="1:2" x14ac:dyDescent="0.25">
      <c r="A503" t="s">
        <v>2706</v>
      </c>
      <c r="B503" t="s">
        <v>2913</v>
      </c>
    </row>
    <row r="504" spans="1:2" x14ac:dyDescent="0.25">
      <c r="A504" t="s">
        <v>2707</v>
      </c>
      <c r="B504" t="s">
        <v>2914</v>
      </c>
    </row>
    <row r="505" spans="1:2" x14ac:dyDescent="0.25">
      <c r="A505" t="s">
        <v>2708</v>
      </c>
      <c r="B505" t="s">
        <v>2915</v>
      </c>
    </row>
    <row r="506" spans="1:2" x14ac:dyDescent="0.25">
      <c r="A506" t="s">
        <v>2709</v>
      </c>
      <c r="B506" t="s">
        <v>2916</v>
      </c>
    </row>
    <row r="507" spans="1:2" x14ac:dyDescent="0.25">
      <c r="A507" t="s">
        <v>2710</v>
      </c>
      <c r="B507" t="s">
        <v>2917</v>
      </c>
    </row>
    <row r="508" spans="1:2" x14ac:dyDescent="0.25">
      <c r="A508" t="s">
        <v>2711</v>
      </c>
      <c r="B508" t="s">
        <v>2918</v>
      </c>
    </row>
    <row r="509" spans="1:2" x14ac:dyDescent="0.25">
      <c r="A509" t="s">
        <v>2712</v>
      </c>
      <c r="B509" t="s">
        <v>2919</v>
      </c>
    </row>
    <row r="510" spans="1:2" x14ac:dyDescent="0.25">
      <c r="A510" t="s">
        <v>2713</v>
      </c>
      <c r="B510" t="s">
        <v>2920</v>
      </c>
    </row>
    <row r="511" spans="1:2" x14ac:dyDescent="0.25">
      <c r="A511" t="s">
        <v>2714</v>
      </c>
      <c r="B511" t="s">
        <v>2921</v>
      </c>
    </row>
    <row r="512" spans="1:2" x14ac:dyDescent="0.25">
      <c r="A512" t="s">
        <v>2715</v>
      </c>
      <c r="B512" t="s">
        <v>2922</v>
      </c>
    </row>
    <row r="513" spans="1:2" x14ac:dyDescent="0.25">
      <c r="A513" t="s">
        <v>2716</v>
      </c>
      <c r="B513" t="s">
        <v>2923</v>
      </c>
    </row>
    <row r="514" spans="1:2" x14ac:dyDescent="0.25">
      <c r="A514" t="s">
        <v>2717</v>
      </c>
      <c r="B514" t="s">
        <v>2924</v>
      </c>
    </row>
    <row r="515" spans="1:2" x14ac:dyDescent="0.25">
      <c r="A515" t="s">
        <v>2718</v>
      </c>
      <c r="B515" t="s">
        <v>2925</v>
      </c>
    </row>
    <row r="516" spans="1:2" x14ac:dyDescent="0.25">
      <c r="A516" t="s">
        <v>2719</v>
      </c>
      <c r="B516" t="s">
        <v>2926</v>
      </c>
    </row>
    <row r="517" spans="1:2" x14ac:dyDescent="0.25">
      <c r="A517" t="s">
        <v>2720</v>
      </c>
      <c r="B517" t="s">
        <v>2927</v>
      </c>
    </row>
    <row r="518" spans="1:2" x14ac:dyDescent="0.25">
      <c r="A518" t="s">
        <v>2721</v>
      </c>
      <c r="B518" t="s">
        <v>2928</v>
      </c>
    </row>
    <row r="519" spans="1:2" x14ac:dyDescent="0.25">
      <c r="A519" t="s">
        <v>2722</v>
      </c>
      <c r="B519" t="s">
        <v>2929</v>
      </c>
    </row>
    <row r="520" spans="1:2" x14ac:dyDescent="0.25">
      <c r="A520" t="s">
        <v>2723</v>
      </c>
      <c r="B520" t="s">
        <v>2930</v>
      </c>
    </row>
    <row r="521" spans="1:2" x14ac:dyDescent="0.25">
      <c r="A521" t="s">
        <v>2724</v>
      </c>
      <c r="B521" t="s">
        <v>2931</v>
      </c>
    </row>
    <row r="522" spans="1:2" x14ac:dyDescent="0.25">
      <c r="A522" t="s">
        <v>2725</v>
      </c>
      <c r="B522" t="s">
        <v>2932</v>
      </c>
    </row>
    <row r="523" spans="1:2" x14ac:dyDescent="0.25">
      <c r="A523" t="s">
        <v>2726</v>
      </c>
      <c r="B523" t="s">
        <v>2933</v>
      </c>
    </row>
    <row r="524" spans="1:2" x14ac:dyDescent="0.25">
      <c r="A524" t="s">
        <v>2727</v>
      </c>
      <c r="B524" t="s">
        <v>2934</v>
      </c>
    </row>
    <row r="525" spans="1:2" x14ac:dyDescent="0.25">
      <c r="A525" t="s">
        <v>2728</v>
      </c>
      <c r="B525" t="s">
        <v>2935</v>
      </c>
    </row>
    <row r="526" spans="1:2" x14ac:dyDescent="0.25">
      <c r="A526" t="s">
        <v>2729</v>
      </c>
      <c r="B526" t="s">
        <v>2936</v>
      </c>
    </row>
    <row r="527" spans="1:2" x14ac:dyDescent="0.25">
      <c r="A527" t="s">
        <v>2730</v>
      </c>
      <c r="B527" t="s">
        <v>2937</v>
      </c>
    </row>
    <row r="528" spans="1:2" x14ac:dyDescent="0.25">
      <c r="A528" t="s">
        <v>2731</v>
      </c>
      <c r="B528" t="s">
        <v>2938</v>
      </c>
    </row>
    <row r="529" spans="1:2" x14ac:dyDescent="0.25">
      <c r="A529" t="s">
        <v>2732</v>
      </c>
      <c r="B529" t="s">
        <v>2939</v>
      </c>
    </row>
    <row r="530" spans="1:2" x14ac:dyDescent="0.25">
      <c r="A530" t="s">
        <v>2733</v>
      </c>
      <c r="B530" t="s">
        <v>2940</v>
      </c>
    </row>
    <row r="531" spans="1:2" x14ac:dyDescent="0.25">
      <c r="A531" t="s">
        <v>2734</v>
      </c>
      <c r="B531" t="s">
        <v>2941</v>
      </c>
    </row>
    <row r="532" spans="1:2" x14ac:dyDescent="0.25">
      <c r="A532" t="s">
        <v>2735</v>
      </c>
      <c r="B532" t="s">
        <v>2942</v>
      </c>
    </row>
    <row r="533" spans="1:2" x14ac:dyDescent="0.25">
      <c r="A533" t="s">
        <v>2736</v>
      </c>
      <c r="B533" t="s">
        <v>2943</v>
      </c>
    </row>
    <row r="534" spans="1:2" x14ac:dyDescent="0.25">
      <c r="A534" t="s">
        <v>2737</v>
      </c>
      <c r="B534" t="s">
        <v>2944</v>
      </c>
    </row>
    <row r="535" spans="1:2" x14ac:dyDescent="0.25">
      <c r="A535" t="s">
        <v>2738</v>
      </c>
      <c r="B535" t="s">
        <v>2945</v>
      </c>
    </row>
    <row r="536" spans="1:2" x14ac:dyDescent="0.25">
      <c r="A536" t="s">
        <v>2739</v>
      </c>
      <c r="B536" t="s">
        <v>2946</v>
      </c>
    </row>
    <row r="537" spans="1:2" x14ac:dyDescent="0.25">
      <c r="A537" t="s">
        <v>2740</v>
      </c>
      <c r="B537" t="s">
        <v>2947</v>
      </c>
    </row>
    <row r="538" spans="1:2" x14ac:dyDescent="0.25">
      <c r="A538" t="s">
        <v>2741</v>
      </c>
      <c r="B538" t="s">
        <v>2948</v>
      </c>
    </row>
    <row r="539" spans="1:2" x14ac:dyDescent="0.25">
      <c r="A539" t="s">
        <v>2742</v>
      </c>
      <c r="B539" t="s">
        <v>2949</v>
      </c>
    </row>
    <row r="540" spans="1:2" x14ac:dyDescent="0.25">
      <c r="A540" t="s">
        <v>2743</v>
      </c>
      <c r="B540" t="s">
        <v>2950</v>
      </c>
    </row>
    <row r="541" spans="1:2" x14ac:dyDescent="0.25">
      <c r="A541" t="s">
        <v>2744</v>
      </c>
      <c r="B541" t="s">
        <v>2951</v>
      </c>
    </row>
    <row r="542" spans="1:2" x14ac:dyDescent="0.25">
      <c r="A542" t="s">
        <v>2745</v>
      </c>
      <c r="B542" t="s">
        <v>2952</v>
      </c>
    </row>
    <row r="543" spans="1:2" x14ac:dyDescent="0.25">
      <c r="A543" t="s">
        <v>2746</v>
      </c>
      <c r="B543" t="s">
        <v>2953</v>
      </c>
    </row>
    <row r="544" spans="1:2" x14ac:dyDescent="0.25">
      <c r="A544" t="s">
        <v>2747</v>
      </c>
      <c r="B544" t="s">
        <v>2954</v>
      </c>
    </row>
    <row r="545" spans="1:2" x14ac:dyDescent="0.25">
      <c r="A545" t="s">
        <v>2748</v>
      </c>
      <c r="B545" t="s">
        <v>2955</v>
      </c>
    </row>
    <row r="546" spans="1:2" x14ac:dyDescent="0.25">
      <c r="A546" t="s">
        <v>2749</v>
      </c>
      <c r="B546" t="s">
        <v>2956</v>
      </c>
    </row>
    <row r="547" spans="1:2" x14ac:dyDescent="0.25">
      <c r="A547" t="s">
        <v>2750</v>
      </c>
      <c r="B547" t="s">
        <v>2957</v>
      </c>
    </row>
    <row r="548" spans="1:2" x14ac:dyDescent="0.25">
      <c r="A548" t="s">
        <v>2751</v>
      </c>
      <c r="B548" t="s">
        <v>2958</v>
      </c>
    </row>
    <row r="549" spans="1:2" x14ac:dyDescent="0.25">
      <c r="A549" t="s">
        <v>2752</v>
      </c>
      <c r="B549" t="s">
        <v>2959</v>
      </c>
    </row>
    <row r="550" spans="1:2" x14ac:dyDescent="0.25">
      <c r="A550" t="s">
        <v>2753</v>
      </c>
      <c r="B550" t="s">
        <v>2960</v>
      </c>
    </row>
    <row r="551" spans="1:2" x14ac:dyDescent="0.25">
      <c r="A551" t="s">
        <v>2754</v>
      </c>
      <c r="B551" t="s">
        <v>2961</v>
      </c>
    </row>
    <row r="552" spans="1:2" x14ac:dyDescent="0.25">
      <c r="A552" t="s">
        <v>2755</v>
      </c>
      <c r="B552" t="s">
        <v>2962</v>
      </c>
    </row>
    <row r="553" spans="1:2" x14ac:dyDescent="0.25">
      <c r="A553" t="s">
        <v>2756</v>
      </c>
      <c r="B553" t="s">
        <v>2963</v>
      </c>
    </row>
    <row r="554" spans="1:2" x14ac:dyDescent="0.25">
      <c r="A554" t="s">
        <v>2757</v>
      </c>
      <c r="B554" t="s">
        <v>2964</v>
      </c>
    </row>
    <row r="555" spans="1:2" x14ac:dyDescent="0.25">
      <c r="A555" t="s">
        <v>2758</v>
      </c>
      <c r="B555" t="s">
        <v>2965</v>
      </c>
    </row>
    <row r="556" spans="1:2" x14ac:dyDescent="0.25">
      <c r="A556" t="s">
        <v>2759</v>
      </c>
      <c r="B556" t="s">
        <v>2966</v>
      </c>
    </row>
    <row r="557" spans="1:2" x14ac:dyDescent="0.25">
      <c r="A557" t="s">
        <v>2760</v>
      </c>
      <c r="B557" t="s">
        <v>2967</v>
      </c>
    </row>
    <row r="558" spans="1:2" x14ac:dyDescent="0.25">
      <c r="A558" t="s">
        <v>2761</v>
      </c>
      <c r="B558" t="s">
        <v>2968</v>
      </c>
    </row>
    <row r="559" spans="1:2" x14ac:dyDescent="0.25">
      <c r="A559" t="s">
        <v>2762</v>
      </c>
      <c r="B559" t="s">
        <v>2969</v>
      </c>
    </row>
    <row r="560" spans="1:2" x14ac:dyDescent="0.25">
      <c r="A560" t="s">
        <v>2763</v>
      </c>
      <c r="B560" t="s">
        <v>2970</v>
      </c>
    </row>
    <row r="561" spans="1:2" x14ac:dyDescent="0.25">
      <c r="A561" t="s">
        <v>2764</v>
      </c>
      <c r="B561" t="s">
        <v>2971</v>
      </c>
    </row>
    <row r="562" spans="1:2" x14ac:dyDescent="0.25">
      <c r="A562" t="s">
        <v>2765</v>
      </c>
      <c r="B562" t="s">
        <v>2972</v>
      </c>
    </row>
    <row r="563" spans="1:2" x14ac:dyDescent="0.25">
      <c r="A563" t="s">
        <v>2766</v>
      </c>
      <c r="B563" t="s">
        <v>2973</v>
      </c>
    </row>
    <row r="564" spans="1:2" x14ac:dyDescent="0.25">
      <c r="A564" t="s">
        <v>2767</v>
      </c>
      <c r="B564" t="s">
        <v>2974</v>
      </c>
    </row>
    <row r="565" spans="1:2" x14ac:dyDescent="0.25">
      <c r="A565" t="s">
        <v>2768</v>
      </c>
      <c r="B565" t="s">
        <v>2975</v>
      </c>
    </row>
    <row r="566" spans="1:2" x14ac:dyDescent="0.25">
      <c r="A566" t="s">
        <v>2769</v>
      </c>
      <c r="B566" t="s">
        <v>2976</v>
      </c>
    </row>
    <row r="567" spans="1:2" x14ac:dyDescent="0.25">
      <c r="A567" t="s">
        <v>2770</v>
      </c>
      <c r="B567" t="s">
        <v>2977</v>
      </c>
    </row>
    <row r="568" spans="1:2" x14ac:dyDescent="0.25">
      <c r="A568" t="s">
        <v>2771</v>
      </c>
      <c r="B568" t="s">
        <v>2978</v>
      </c>
    </row>
    <row r="569" spans="1:2" x14ac:dyDescent="0.25">
      <c r="A569" t="s">
        <v>2772</v>
      </c>
      <c r="B569" t="s">
        <v>2979</v>
      </c>
    </row>
    <row r="570" spans="1:2" x14ac:dyDescent="0.25">
      <c r="A570" t="s">
        <v>2773</v>
      </c>
      <c r="B570" t="s">
        <v>2980</v>
      </c>
    </row>
    <row r="571" spans="1:2" x14ac:dyDescent="0.25">
      <c r="A571">
        <v>104360</v>
      </c>
      <c r="B571" s="37" t="s">
        <v>2992</v>
      </c>
    </row>
  </sheetData>
  <hyperlinks>
    <hyperlink ref="B361" r:id="rId1" display="mailto:VZUMARAN@ANTAYHOTELES.CL" xr:uid="{8DB714A7-98CA-40A6-BDA6-51E5953558CC}"/>
    <hyperlink ref="B362" r:id="rId2" display="mailto:BGLOBOS@ANTAYHOTELES.CL" xr:uid="{5B99647A-8790-4F5B-9883-5404777F3B02}"/>
    <hyperlink ref="B571" r:id="rId3" xr:uid="{99AC2EE2-9C8B-4CC8-B66B-4898F2C4AEF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52F7-3097-41C2-98C7-3925E062E4AC}">
  <dimension ref="A1"/>
  <sheetViews>
    <sheetView workbookViewId="0">
      <selection activeCell="B1" sqref="B1:C13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9D28C51D43FE44A9091F44CA4FA930" ma:contentTypeVersion="15" ma:contentTypeDescription="Crear nuevo documento." ma:contentTypeScope="" ma:versionID="ac0408a7f1fc1b98564194053f27d175">
  <xsd:schema xmlns:xsd="http://www.w3.org/2001/XMLSchema" xmlns:xs="http://www.w3.org/2001/XMLSchema" xmlns:p="http://schemas.microsoft.com/office/2006/metadata/properties" xmlns:ns2="f0f81759-9ff0-4e13-b6b4-a6af1f25c261" xmlns:ns3="9b103892-c566-4660-a2a0-920a15bd2cee" targetNamespace="http://schemas.microsoft.com/office/2006/metadata/properties" ma:root="true" ma:fieldsID="8129c00d20bdfbe49cfb7a559f032238" ns2:_="" ns3:_="">
    <xsd:import namespace="f0f81759-9ff0-4e13-b6b4-a6af1f25c261"/>
    <xsd:import namespace="9b103892-c566-4660-a2a0-920a15bd2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81759-9ff0-4e13-b6b4-a6af1f25c2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03892-c566-4660-a2a0-920a15bd2ce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DDDAEA-164C-408D-9E1F-7015F6F493F2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f0f81759-9ff0-4e13-b6b4-a6af1f25c261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9b103892-c566-4660-a2a0-920a15bd2ce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CEF9B39-0C0A-4484-89DB-6D288CC630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148EAF-D626-4DBF-B98B-DE3939D5FA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f81759-9ff0-4e13-b6b4-a6af1f25c261"/>
    <ds:schemaRef ds:uri="9b103892-c566-4660-a2a0-920a15bd2c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Informe 2025</vt:lpstr>
      <vt:lpstr>Participantes</vt:lpstr>
      <vt:lpstr>Guía</vt:lpstr>
      <vt:lpstr>ID</vt:lpstr>
      <vt:lpstr>CORREOS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Arosa Rodriguez</dc:creator>
  <cp:keywords/>
  <dc:description/>
  <cp:lastModifiedBy>Paola Cortes</cp:lastModifiedBy>
  <cp:revision/>
  <dcterms:created xsi:type="dcterms:W3CDTF">2018-12-26T14:20:15Z</dcterms:created>
  <dcterms:modified xsi:type="dcterms:W3CDTF">2025-10-23T13:15:37Z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0x010100A19D28C51D43FE44A9091F44CA4FA930</vt:lpwstr>
  </property>
  <property fmtid="{D5CDD505-2E9C-101B-9397-08002B2CF9AE}" pid="3" name="Order">
    <vt:r8>127200</vt:r8>
  </property>
</Properties>
</file>